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erchis\Downloads\"/>
    </mc:Choice>
  </mc:AlternateContent>
  <xr:revisionPtr revIDLastSave="0" documentId="13_ncr:1_{D765ACB2-AA2A-45F0-84EB-0CDDB86F1C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ACTIVIDA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8" i="2" l="1"/>
  <c r="K47" i="2"/>
  <c r="K46" i="2"/>
  <c r="K45" i="2"/>
  <c r="K44" i="2"/>
  <c r="K43" i="2"/>
  <c r="K42" i="2"/>
  <c r="K41" i="2"/>
  <c r="K40" i="2"/>
  <c r="K39" i="2"/>
  <c r="L38" i="2"/>
  <c r="K38" i="2"/>
  <c r="K37" i="2"/>
  <c r="K36" i="2"/>
  <c r="K35" i="2"/>
  <c r="K34" i="2"/>
  <c r="K33" i="2"/>
  <c r="K32" i="2"/>
  <c r="K31" i="2"/>
  <c r="K30" i="2"/>
  <c r="K29" i="2"/>
</calcChain>
</file>

<file path=xl/sharedStrings.xml><?xml version="1.0" encoding="utf-8"?>
<sst xmlns="http://schemas.openxmlformats.org/spreadsheetml/2006/main" count="454" uniqueCount="135">
  <si>
    <t>REPORTE SEMESTRAL DEL TUTOR</t>
  </si>
  <si>
    <t>DATOS GENERALES</t>
  </si>
  <si>
    <t>TECNOLÓGICO NACIONAL DE MEXICO</t>
  </si>
  <si>
    <t>FECHA</t>
  </si>
  <si>
    <t>APOYO</t>
  </si>
  <si>
    <t>ABREV.</t>
  </si>
  <si>
    <t xml:space="preserve">ESTANCIA </t>
  </si>
  <si>
    <t>OTRAS</t>
  </si>
  <si>
    <t>NINGUNO</t>
  </si>
  <si>
    <t>INSTITUTO</t>
  </si>
  <si>
    <t>INSTITUTO TECNOLÓGICO DE MATEHUALA</t>
  </si>
  <si>
    <t>SERVICIOS PSICOLÓGICOS</t>
  </si>
  <si>
    <t>SP</t>
  </si>
  <si>
    <t>SERVICIOS DE SALUD</t>
  </si>
  <si>
    <t>SS</t>
  </si>
  <si>
    <t>NOMBRE DEL TUTOR (A)</t>
  </si>
  <si>
    <t>ADICCIONES</t>
  </si>
  <si>
    <t>AD</t>
  </si>
  <si>
    <t>BECA DE MANUTENCIÓN</t>
  </si>
  <si>
    <t>BM</t>
  </si>
  <si>
    <t>CARRERA/SEMESTRE</t>
  </si>
  <si>
    <t>BECA DE TRANSPORTE</t>
  </si>
  <si>
    <t>BT</t>
  </si>
  <si>
    <t>BECA DE ALIMENTACIÓN</t>
  </si>
  <si>
    <t>BA</t>
  </si>
  <si>
    <t>ASESORÍA ACADÉMICA</t>
  </si>
  <si>
    <t>AA</t>
  </si>
  <si>
    <t xml:space="preserve">CUENTA CON UN PROGRAMA INSTITUCIONAL DE TUTORIA: </t>
  </si>
  <si>
    <t>SI</t>
  </si>
  <si>
    <t>NO</t>
  </si>
  <si>
    <t>ASESORÍA DE LOS PROCESOS ACADÉMICO-ADMINISTRATIVOS</t>
  </si>
  <si>
    <t>APAA</t>
  </si>
  <si>
    <t>APTITUDES SOBRESALIENTES</t>
  </si>
  <si>
    <t>AS</t>
  </si>
  <si>
    <t xml:space="preserve">NOMBRE </t>
  </si>
  <si>
    <t>NO.CONTROL</t>
  </si>
  <si>
    <t>GRUPO</t>
  </si>
  <si>
    <t>ESTUDIANTES ATENDIDOS EN EL SEMESTRE</t>
  </si>
  <si>
    <t>NO. DE ESTUDIANTES CON BAJA</t>
  </si>
  <si>
    <r>
      <rPr>
        <b/>
        <sz val="11"/>
        <color rgb="FF000000"/>
        <rFont val="Arial Narrow"/>
        <family val="2"/>
      </rPr>
      <t>TALLERES DE DESARROLLO INTEGRAL IMPARTIDOS</t>
    </r>
    <r>
      <rPr>
        <b/>
        <sz val="8"/>
        <color rgb="FF000000"/>
        <rFont val="Arial Narrow"/>
        <family val="2"/>
      </rPr>
      <t xml:space="preserve"> (EVIDENCIAS EN PLATAFORMA DE EDUCACION A DISTANCIA.)</t>
    </r>
  </si>
  <si>
    <t>ÍNDICE DE REPROBACIÓN</t>
  </si>
  <si>
    <t>REZAGO</t>
  </si>
  <si>
    <t>CALIF. FINAL</t>
  </si>
  <si>
    <t>ÁREA CANALIZADA</t>
  </si>
  <si>
    <t>TUTORÍA GRUPAL</t>
  </si>
  <si>
    <t>TUTORÍA INDIVIDUAL</t>
  </si>
  <si>
    <t>TUTORÍA VIRTUAL</t>
  </si>
  <si>
    <t>TUTORÍA DE PARES</t>
  </si>
  <si>
    <t>TUTORÍA PLENARIA</t>
  </si>
  <si>
    <t>TUTORÍA EMPRESARIAL</t>
  </si>
  <si>
    <t>DEFINITIVA</t>
  </si>
  <si>
    <t>TEMPORAL</t>
  </si>
  <si>
    <t>APOYOS CON LOS QUE CUENTA EL TECNOLÓGICO PARA CANALIZAR A LOS TUTORADO</t>
  </si>
  <si>
    <t xml:space="preserve"> 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</si>
  <si>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</si>
  <si>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</si>
  <si>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</si>
  <si>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</si>
  <si>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</si>
  <si>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</si>
  <si>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</si>
  <si>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</si>
  <si>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</si>
  <si>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</si>
  <si>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</si>
  <si>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</si>
  <si>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</si>
  <si>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>FICHA DE IDENTIFICACIÓN</t>
  </si>
  <si>
    <t>ENTREVISTA</t>
  </si>
  <si>
    <t>DESEMPEÑO ACADÉMICO.                1° SEGUIMIENTO</t>
  </si>
  <si>
    <t>LÍNEA DE VIDA</t>
  </si>
  <si>
    <t>FODA</t>
  </si>
  <si>
    <t>DESEMPEÑO ACADÉMICO.              2° SEGUIMIENTO</t>
  </si>
  <si>
    <t>ENCUESTA. HABILIDADES DE ESTUDIO</t>
  </si>
  <si>
    <t>TEST. ASERTIVIDAD</t>
  </si>
  <si>
    <t>TEST. AUTOESTIMA</t>
  </si>
  <si>
    <t>PARTICIPACIÓN. CONGRESO 2022</t>
  </si>
  <si>
    <t>DESEMPEÑO ACADÉMICO.                3° SEGUIMIENTO</t>
  </si>
  <si>
    <t>BOCANEGRA CASTRO</t>
  </si>
  <si>
    <t>ROSA ANGELICA</t>
  </si>
  <si>
    <t>OK</t>
  </si>
  <si>
    <t>CALVO PUENTE</t>
  </si>
  <si>
    <t>JOSE ALFREDO</t>
  </si>
  <si>
    <t>CARRIZALEZ SILVA</t>
  </si>
  <si>
    <t>CESAR ALEJANDRO</t>
  </si>
  <si>
    <t>CAZARES VARGAS</t>
  </si>
  <si>
    <t>SERGIO</t>
  </si>
  <si>
    <t>CORONADO OVALLE</t>
  </si>
  <si>
    <t>WILFRIDO</t>
  </si>
  <si>
    <t>GARCÍA ZAMORA</t>
  </si>
  <si>
    <t xml:space="preserve"> JUAN FRANCISCO</t>
  </si>
  <si>
    <t>LARA REYES</t>
  </si>
  <si>
    <t>PAULINA</t>
  </si>
  <si>
    <t>LÓPEZ GARCÍA</t>
  </si>
  <si>
    <t>JOSÉ JUAN</t>
  </si>
  <si>
    <t>LOPEZ TORRES</t>
  </si>
  <si>
    <t>FRANSISCO JAASIEL</t>
  </si>
  <si>
    <t>LUNA ALVAREZ</t>
  </si>
  <si>
    <t xml:space="preserve"> CELESTE GUADALUPE</t>
  </si>
  <si>
    <t>MARTINEZ OLIVA</t>
  </si>
  <si>
    <t>JOSE MANUEL</t>
  </si>
  <si>
    <t>MENDOZA OBREGON</t>
  </si>
  <si>
    <t>CRISTIAN ALEJANDRO</t>
  </si>
  <si>
    <t>MENDOZA RODRIGUEZ</t>
  </si>
  <si>
    <t xml:space="preserve"> JORDY</t>
  </si>
  <si>
    <t>PEREZ HERNANDEZ</t>
  </si>
  <si>
    <t>RODRIGO</t>
  </si>
  <si>
    <t>RAMIREZ PEREZ</t>
  </si>
  <si>
    <t>ANGEL ALEJANDRO</t>
  </si>
  <si>
    <t>REGALADO FLORES</t>
  </si>
  <si>
    <t>ISRAEL</t>
  </si>
  <si>
    <t>RETA OBREGON</t>
  </si>
  <si>
    <t>JOSE ALBERTO</t>
  </si>
  <si>
    <t>SERRATO ALEMAN</t>
  </si>
  <si>
    <t>MARIANA ELIZABETH</t>
  </si>
  <si>
    <t>SOTO AMAYA</t>
  </si>
  <si>
    <t>FRANCISCO</t>
  </si>
  <si>
    <t>VAZQUEZ QUIÑONES</t>
  </si>
  <si>
    <t>FERNANDO</t>
  </si>
  <si>
    <t>No. De Control</t>
  </si>
  <si>
    <t>Apellidos</t>
  </si>
  <si>
    <t>Nombre(s)</t>
  </si>
  <si>
    <t>Grupo</t>
  </si>
  <si>
    <t>Taller de Etica</t>
  </si>
  <si>
    <t xml:space="preserve">Fundamentos de Investigación </t>
  </si>
  <si>
    <t>Calculo Diferencial</t>
  </si>
  <si>
    <t>Quimica</t>
  </si>
  <si>
    <t>Taller de Herr. Intelectuales</t>
  </si>
  <si>
    <t>Dibujo Industrial</t>
  </si>
  <si>
    <t>PROMEDIO</t>
  </si>
  <si>
    <t>% ACREDITACION</t>
  </si>
  <si>
    <t>1NA</t>
  </si>
  <si>
    <t>*</t>
  </si>
  <si>
    <t>APLICACIÓN DE MMPI 2</t>
  </si>
  <si>
    <t>DATOS CONCENTRADOS EN DESARROLLO ACADEMICO  CON PSIC. ADOLFO DE JESUS 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</si>
</sst>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20"/>
      <color theme="0"/>
      <name val="Arial Black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8"/>
      <color rgb="FF000000"/>
      <name val="Arial Narrow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4" xfId="0" applyFont="1" applyBorder="1" applyAlignment="1">
      <alignment horizontal="left" wrapText="1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21" xfId="0" applyBorder="1"/>
    <xf numFmtId="0" fontId="8" fillId="2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0" fillId="0" borderId="0" xfId="0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2" fontId="0" fillId="6" borderId="0" xfId="0" applyNumberForma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9" xfId="0" applyFill="1" applyBorder="1"/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/>
    <xf numFmtId="0" fontId="15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5" fillId="5" borderId="1" xfId="0" applyFont="1" applyFill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6" fillId="0" borderId="1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21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9" fillId="0" borderId="19" xfId="0" applyFont="1" applyBorder="1" applyAlignment="1"/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4" xfId="0" applyFont="1" applyBorder="1" applyAlignment="1">
      <alignment horizontal="left"/>
    </xf>
    <xf numFmtId="0" fontId="0" fillId="4" borderId="23" xfId="0" applyFill="1" applyBorder="1" applyAlignment="1">
      <alignment horizontal="center"/>
    </xf>
    <xf numFmtId="0" fontId="0" fillId="0" borderId="9" xfId="0" applyBorder="1" applyAlignment="1"/>
    <xf numFmtId="0" fontId="0" fillId="0" borderId="24" xfId="0" applyBorder="1" applyAlignment="1"/>
    <xf numFmtId="0" fontId="8" fillId="0" borderId="18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18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/>
    <xf numFmtId="0" fontId="1" fillId="3" borderId="4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9" xfId="0" applyBorder="1" applyAlignment="1"/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1" xfId="0" applyBorder="1" applyAlignment="1"/>
    <xf numFmtId="0" fontId="1" fillId="2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9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4" xfId="0" applyBorder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B0360-AEEF-45C8-9EF1-3949B2F86E58}" name="Tabla1" displayName="Tabla1" ref="A2:N23" totalsRowShown="0" headerRowDxfId="0">
  <tableColumns count="14">
    <tableColumn id="1" xr3:uid="{8FEDF37A-DEA6-45B3-9C81-6E8683D959C8}" name=" "/>
    <tableColumn id="2" xr3:uid="{8B853099-8F58-47EF-B358-1A81F8F85107}" name=" 2"/>
    <tableColumn id="3" xr3:uid="{83D1B791-6D0F-45DF-8779-FE44CF6C8E6A}" name=" 3"/>
    <tableColumn id="4" xr3:uid="{4CE033BC-A112-461E-90F8-1013E6D0EAE1}" name=" 4"/>
    <tableColumn id="5" xr3:uid="{F1653B7F-1916-4CDC-9835-8044119BD70B}" name=" 5"/>
    <tableColumn id="6" xr3:uid="{85BDB763-CFE2-421B-BAD4-E90BEEF04141}" name=" 6"/>
    <tableColumn id="7" xr3:uid="{EF1B5468-1DD3-4843-A446-841B64D3A6FD}" name=" 7"/>
    <tableColumn id="8" xr3:uid="{1E71E2BF-BDD8-47E3-AD1B-EC9DDD9EE409}" name=" 8"/>
    <tableColumn id="9" xr3:uid="{7EF724CE-6E18-436D-8D88-7B912E15AC37}" name=" 9"/>
    <tableColumn id="10" xr3:uid="{7130B3ED-36CF-4DD8-A678-C3ED7E34C559}" name=" 10"/>
    <tableColumn id="11" xr3:uid="{99D31D92-2C49-4EF5-8DEE-788C854B69B2}" name=" 11"/>
    <tableColumn id="12" xr3:uid="{736266A2-621A-4F6A-A760-F32934564895}" name=" 12"/>
    <tableColumn id="13" xr3:uid="{EA3F7299-9B5B-4F28-A071-775EBBDE7691}" name=" 13"/>
    <tableColumn id="14" xr3:uid="{33BF834E-D2A5-4B54-AB26-080E1E06D7A4}" name=" 14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zoomScale="66" zoomScaleNormal="66" workbookViewId="0">
      <selection activeCell="B9" sqref="B9:L11"/>
    </sheetView>
  </sheetViews>
  <sheetFormatPr baseColWidth="10" defaultColWidth="11.42578125" defaultRowHeight="15" x14ac:dyDescent="0.25"/>
  <cols>
    <col min="1" max="1" width="49.7109375" customWidth="1"/>
    <col min="2" max="2" width="14.5703125" customWidth="1"/>
    <col min="3" max="3" width="12.42578125" customWidth="1"/>
    <col min="4" max="4" width="13.140625" customWidth="1"/>
    <col min="5" max="5" width="14.5703125" customWidth="1"/>
    <col min="6" max="6" width="12.42578125" customWidth="1"/>
    <col min="7" max="7" width="12.7109375" customWidth="1"/>
    <col min="8" max="8" width="13.42578125" customWidth="1"/>
    <col min="9" max="9" width="18.5703125" customWidth="1"/>
    <col min="10" max="10" width="15.5703125" customWidth="1"/>
    <col min="11" max="11" width="15.42578125" customWidth="1"/>
    <col min="12" max="12" width="23.140625" customWidth="1"/>
    <col min="13" max="13" width="14" customWidth="1"/>
    <col min="14" max="14" width="12.5703125" customWidth="1"/>
    <col min="15" max="15" width="17" customWidth="1"/>
    <col min="16" max="16" width="15.85546875" customWidth="1"/>
    <col min="17" max="17" width="4.28515625" customWidth="1"/>
    <col min="18" max="18" width="5" customWidth="1"/>
    <col min="19" max="19" width="5.85546875" customWidth="1"/>
    <col min="20" max="20" width="5" customWidth="1"/>
    <col min="21" max="21" width="4.85546875" customWidth="1"/>
    <col min="22" max="22" width="5.85546875" customWidth="1"/>
    <col min="23" max="23" width="5.42578125" customWidth="1"/>
    <col min="24" max="24" width="7" customWidth="1"/>
    <col min="25" max="25" width="4.28515625" customWidth="1"/>
  </cols>
  <sheetData>
    <row r="1" spans="1:28" ht="38.25" customHeight="1" thickBot="1" x14ac:dyDescent="0.3"/>
    <row r="2" spans="1:28" ht="39" customHeight="1" x14ac:dyDescent="0.6">
      <c r="A2" s="102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4"/>
      <c r="AB2" s="6"/>
    </row>
    <row r="3" spans="1:28" ht="19.5" customHeight="1" x14ac:dyDescent="0.25">
      <c r="A3" s="17" t="s">
        <v>1</v>
      </c>
      <c r="B3" s="107" t="s">
        <v>2</v>
      </c>
      <c r="C3" s="82"/>
      <c r="D3" s="82"/>
      <c r="E3" s="82"/>
      <c r="F3" s="82"/>
      <c r="G3" s="82"/>
      <c r="H3" s="82"/>
      <c r="I3" s="82"/>
      <c r="J3" s="83"/>
      <c r="K3" s="105" t="s">
        <v>3</v>
      </c>
      <c r="L3" s="106"/>
      <c r="M3" s="99" t="s">
        <v>52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8" ht="39" customHeight="1" x14ac:dyDescent="0.3">
      <c r="A4" s="18"/>
      <c r="B4" s="84"/>
      <c r="C4" s="85"/>
      <c r="D4" s="85"/>
      <c r="E4" s="85"/>
      <c r="F4" s="85"/>
      <c r="G4" s="85"/>
      <c r="H4" s="85"/>
      <c r="I4" s="85"/>
      <c r="J4" s="86"/>
      <c r="K4" s="112"/>
      <c r="L4" s="113"/>
      <c r="M4" s="110" t="s">
        <v>4</v>
      </c>
      <c r="N4" s="111"/>
      <c r="O4" s="111"/>
      <c r="P4" s="14" t="s">
        <v>5</v>
      </c>
      <c r="Q4" s="97" t="s">
        <v>6</v>
      </c>
      <c r="R4" s="98"/>
      <c r="S4" s="98"/>
      <c r="T4" s="97" t="s">
        <v>7</v>
      </c>
      <c r="U4" s="97"/>
      <c r="V4" s="98"/>
      <c r="W4" s="108" t="s">
        <v>8</v>
      </c>
      <c r="X4" s="108"/>
      <c r="Y4" s="109"/>
    </row>
    <row r="5" spans="1:28" ht="21.75" customHeight="1" x14ac:dyDescent="0.25">
      <c r="A5" s="79" t="s">
        <v>9</v>
      </c>
      <c r="B5" s="81" t="s">
        <v>10</v>
      </c>
      <c r="C5" s="82"/>
      <c r="D5" s="82"/>
      <c r="E5" s="82"/>
      <c r="F5" s="82"/>
      <c r="G5" s="82"/>
      <c r="H5" s="82"/>
      <c r="I5" s="82"/>
      <c r="J5" s="82"/>
      <c r="K5" s="82"/>
      <c r="L5" s="83"/>
      <c r="M5" s="114" t="s">
        <v>11</v>
      </c>
      <c r="N5" s="115"/>
      <c r="O5" s="72"/>
      <c r="P5" s="15" t="s">
        <v>12</v>
      </c>
      <c r="Q5" s="59"/>
      <c r="R5" s="60"/>
      <c r="S5" s="61"/>
      <c r="T5" s="59"/>
      <c r="U5" s="60"/>
      <c r="V5" s="61"/>
      <c r="W5" s="59"/>
      <c r="X5" s="60"/>
      <c r="Y5" s="62"/>
    </row>
    <row r="6" spans="1:28" ht="22.5" customHeight="1" x14ac:dyDescent="0.25">
      <c r="A6" s="80"/>
      <c r="B6" s="84"/>
      <c r="C6" s="85"/>
      <c r="D6" s="85"/>
      <c r="E6" s="85"/>
      <c r="F6" s="85"/>
      <c r="G6" s="85"/>
      <c r="H6" s="85"/>
      <c r="I6" s="85"/>
      <c r="J6" s="85"/>
      <c r="K6" s="85"/>
      <c r="L6" s="86"/>
      <c r="M6" s="70" t="s">
        <v>13</v>
      </c>
      <c r="N6" s="71"/>
      <c r="O6" s="71"/>
      <c r="P6" s="15" t="s">
        <v>14</v>
      </c>
      <c r="Q6" s="59"/>
      <c r="R6" s="60"/>
      <c r="S6" s="61"/>
      <c r="T6" s="59"/>
      <c r="U6" s="60"/>
      <c r="V6" s="61"/>
      <c r="W6" s="59"/>
      <c r="X6" s="60"/>
      <c r="Y6" s="62"/>
    </row>
    <row r="7" spans="1:28" ht="21" customHeight="1" x14ac:dyDescent="0.25">
      <c r="A7" s="79" t="s">
        <v>15</v>
      </c>
      <c r="B7" s="87"/>
      <c r="C7" s="88"/>
      <c r="D7" s="88"/>
      <c r="E7" s="88"/>
      <c r="F7" s="88"/>
      <c r="G7" s="88"/>
      <c r="H7" s="88"/>
      <c r="I7" s="88"/>
      <c r="J7" s="88"/>
      <c r="K7" s="88"/>
      <c r="L7" s="89"/>
      <c r="M7" s="70" t="s">
        <v>16</v>
      </c>
      <c r="N7" s="71"/>
      <c r="O7" s="71"/>
      <c r="P7" s="15" t="s">
        <v>17</v>
      </c>
      <c r="Q7" s="59"/>
      <c r="R7" s="60"/>
      <c r="S7" s="61"/>
      <c r="T7" s="59"/>
      <c r="U7" s="60"/>
      <c r="V7" s="61"/>
      <c r="W7" s="59"/>
      <c r="X7" s="60"/>
      <c r="Y7" s="62"/>
    </row>
    <row r="8" spans="1:28" ht="20.25" customHeight="1" x14ac:dyDescent="0.25">
      <c r="A8" s="80"/>
      <c r="B8" s="90"/>
      <c r="C8" s="91"/>
      <c r="D8" s="91"/>
      <c r="E8" s="91"/>
      <c r="F8" s="91"/>
      <c r="G8" s="91"/>
      <c r="H8" s="91"/>
      <c r="I8" s="91"/>
      <c r="J8" s="91"/>
      <c r="K8" s="91"/>
      <c r="L8" s="92"/>
      <c r="M8" s="70" t="s">
        <v>18</v>
      </c>
      <c r="N8" s="71"/>
      <c r="O8" s="71"/>
      <c r="P8" s="15" t="s">
        <v>19</v>
      </c>
      <c r="Q8" s="59"/>
      <c r="R8" s="60"/>
      <c r="S8" s="61"/>
      <c r="T8" s="59"/>
      <c r="U8" s="60"/>
      <c r="V8" s="61"/>
      <c r="W8" s="59"/>
      <c r="X8" s="60"/>
      <c r="Y8" s="62"/>
    </row>
    <row r="9" spans="1:28" ht="21.75" customHeight="1" x14ac:dyDescent="0.25">
      <c r="A9" s="79" t="s">
        <v>20</v>
      </c>
      <c r="B9" s="87"/>
      <c r="C9" s="88"/>
      <c r="D9" s="88"/>
      <c r="E9" s="88"/>
      <c r="F9" s="88"/>
      <c r="G9" s="88"/>
      <c r="H9" s="88"/>
      <c r="I9" s="88"/>
      <c r="J9" s="88"/>
      <c r="K9" s="88"/>
      <c r="L9" s="89"/>
      <c r="M9" s="70" t="s">
        <v>21</v>
      </c>
      <c r="N9" s="71"/>
      <c r="O9" s="71"/>
      <c r="P9" s="15" t="s">
        <v>22</v>
      </c>
      <c r="Q9" s="59"/>
      <c r="R9" s="60"/>
      <c r="S9" s="61"/>
      <c r="T9" s="59"/>
      <c r="U9" s="60"/>
      <c r="V9" s="61"/>
      <c r="W9" s="59"/>
      <c r="X9" s="60"/>
      <c r="Y9" s="62"/>
    </row>
    <row r="10" spans="1:28" ht="18.75" customHeight="1" x14ac:dyDescent="0.25">
      <c r="A10" s="93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6"/>
      <c r="M10" s="70" t="s">
        <v>23</v>
      </c>
      <c r="N10" s="71"/>
      <c r="O10" s="71"/>
      <c r="P10" s="15" t="s">
        <v>24</v>
      </c>
      <c r="Q10" s="59"/>
      <c r="R10" s="60"/>
      <c r="S10" s="61"/>
      <c r="T10" s="59"/>
      <c r="U10" s="60"/>
      <c r="V10" s="61"/>
      <c r="W10" s="59"/>
      <c r="X10" s="60"/>
      <c r="Y10" s="62"/>
    </row>
    <row r="11" spans="1:28" ht="18.75" customHeight="1" x14ac:dyDescent="0.25">
      <c r="A11" s="80"/>
      <c r="B11" s="90"/>
      <c r="C11" s="91"/>
      <c r="D11" s="91"/>
      <c r="E11" s="91"/>
      <c r="F11" s="91"/>
      <c r="G11" s="91"/>
      <c r="H11" s="91"/>
      <c r="I11" s="91"/>
      <c r="J11" s="91"/>
      <c r="K11" s="91"/>
      <c r="L11" s="92"/>
      <c r="M11" s="72" t="s">
        <v>25</v>
      </c>
      <c r="N11" s="71"/>
      <c r="O11" s="71"/>
      <c r="P11" s="15" t="s">
        <v>26</v>
      </c>
      <c r="Q11" s="9"/>
      <c r="R11" s="7"/>
      <c r="S11" s="8"/>
      <c r="T11" s="9"/>
      <c r="U11" s="7"/>
      <c r="V11" s="8"/>
      <c r="W11" s="9"/>
      <c r="X11" s="7"/>
      <c r="Y11" s="19"/>
    </row>
    <row r="12" spans="1:28" ht="31.5" customHeight="1" x14ac:dyDescent="0.25">
      <c r="A12" s="76" t="s">
        <v>27</v>
      </c>
      <c r="B12" s="116" t="s">
        <v>28</v>
      </c>
      <c r="C12" s="116"/>
      <c r="D12" s="116" t="s">
        <v>29</v>
      </c>
      <c r="E12" s="119"/>
      <c r="F12" s="119"/>
      <c r="G12" s="122"/>
      <c r="H12" s="122"/>
      <c r="I12" s="122"/>
      <c r="J12" s="122"/>
      <c r="K12" s="122"/>
      <c r="L12" s="123"/>
      <c r="M12" s="128" t="s">
        <v>30</v>
      </c>
      <c r="N12" s="129"/>
      <c r="O12" s="130"/>
      <c r="P12" s="15" t="s">
        <v>31</v>
      </c>
      <c r="Q12" s="59"/>
      <c r="R12" s="60"/>
      <c r="S12" s="61"/>
      <c r="T12" s="59"/>
      <c r="U12" s="60"/>
      <c r="V12" s="61"/>
      <c r="W12" s="59"/>
      <c r="X12" s="60"/>
      <c r="Y12" s="62"/>
    </row>
    <row r="13" spans="1:28" ht="15.75" hidden="1" customHeight="1" x14ac:dyDescent="0.25">
      <c r="A13" s="77"/>
      <c r="B13" s="117"/>
      <c r="C13" s="117"/>
      <c r="D13" s="117"/>
      <c r="E13" s="120"/>
      <c r="F13" s="120"/>
      <c r="G13" s="124"/>
      <c r="H13" s="124"/>
      <c r="I13" s="124"/>
      <c r="J13" s="124"/>
      <c r="K13" s="124"/>
      <c r="L13" s="125"/>
      <c r="M13" s="16" t="s">
        <v>30</v>
      </c>
      <c r="N13" s="15"/>
      <c r="O13" s="15"/>
      <c r="P13" s="15" t="s">
        <v>31</v>
      </c>
      <c r="Q13" s="59"/>
      <c r="R13" s="60"/>
      <c r="S13" s="61"/>
      <c r="T13" s="59"/>
      <c r="U13" s="60"/>
      <c r="V13" s="61"/>
      <c r="W13" s="59"/>
      <c r="X13" s="60"/>
      <c r="Y13" s="62"/>
    </row>
    <row r="14" spans="1:28" ht="26.25" customHeight="1" x14ac:dyDescent="0.25">
      <c r="A14" s="78"/>
      <c r="B14" s="118"/>
      <c r="C14" s="118"/>
      <c r="D14" s="118"/>
      <c r="E14" s="121"/>
      <c r="F14" s="121"/>
      <c r="G14" s="126"/>
      <c r="H14" s="126"/>
      <c r="I14" s="126"/>
      <c r="J14" s="126"/>
      <c r="K14" s="126"/>
      <c r="L14" s="127"/>
      <c r="M14" s="72" t="s">
        <v>32</v>
      </c>
      <c r="N14" s="71"/>
      <c r="O14" s="71"/>
      <c r="P14" s="15" t="s">
        <v>33</v>
      </c>
      <c r="Q14" s="59"/>
      <c r="R14" s="60"/>
      <c r="S14" s="61"/>
      <c r="T14" s="59"/>
      <c r="U14" s="60"/>
      <c r="V14" s="61"/>
      <c r="W14" s="59"/>
      <c r="X14" s="60"/>
      <c r="Y14" s="62"/>
    </row>
    <row r="15" spans="1:28" x14ac:dyDescent="0.2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5"/>
    </row>
    <row r="16" spans="1:28" ht="42.75" customHeight="1" x14ac:dyDescent="0.3">
      <c r="A16" s="51" t="s">
        <v>34</v>
      </c>
      <c r="B16" s="52" t="s">
        <v>35</v>
      </c>
      <c r="C16" s="53" t="s">
        <v>36</v>
      </c>
      <c r="D16" s="54" t="s">
        <v>37</v>
      </c>
      <c r="E16" s="55"/>
      <c r="F16" s="55"/>
      <c r="G16" s="55"/>
      <c r="H16" s="55"/>
      <c r="I16" s="56"/>
      <c r="J16" s="63" t="s">
        <v>38</v>
      </c>
      <c r="K16" s="63"/>
      <c r="L16" s="57" t="s">
        <v>39</v>
      </c>
      <c r="M16" s="132" t="s">
        <v>40</v>
      </c>
      <c r="N16" s="133"/>
      <c r="O16" s="68" t="s">
        <v>41</v>
      </c>
      <c r="P16" s="68" t="s">
        <v>42</v>
      </c>
      <c r="Q16" s="64" t="s">
        <v>43</v>
      </c>
      <c r="R16" s="65"/>
      <c r="S16" s="65"/>
      <c r="T16" s="65"/>
      <c r="U16" s="65"/>
      <c r="V16" s="65"/>
      <c r="W16" s="66"/>
      <c r="X16" s="66"/>
      <c r="Y16" s="67"/>
    </row>
    <row r="17" spans="1:25" ht="45" customHeight="1" x14ac:dyDescent="0.25">
      <c r="A17" s="51"/>
      <c r="B17" s="52"/>
      <c r="C17" s="53"/>
      <c r="D17" s="10" t="s">
        <v>44</v>
      </c>
      <c r="E17" s="10" t="s">
        <v>45</v>
      </c>
      <c r="F17" s="10" t="s">
        <v>46</v>
      </c>
      <c r="G17" s="10" t="s">
        <v>47</v>
      </c>
      <c r="H17" s="10" t="s">
        <v>48</v>
      </c>
      <c r="I17" s="10" t="s">
        <v>49</v>
      </c>
      <c r="J17" s="13" t="s">
        <v>50</v>
      </c>
      <c r="K17" s="11" t="s">
        <v>51</v>
      </c>
      <c r="L17" s="58"/>
      <c r="M17" s="134"/>
      <c r="N17" s="135"/>
      <c r="O17" s="69"/>
      <c r="P17" s="69"/>
      <c r="Q17" s="12" t="s">
        <v>12</v>
      </c>
      <c r="R17" s="12" t="s">
        <v>14</v>
      </c>
      <c r="S17" s="12" t="s">
        <v>17</v>
      </c>
      <c r="T17" s="12" t="s">
        <v>19</v>
      </c>
      <c r="U17" s="12" t="s">
        <v>22</v>
      </c>
      <c r="V17" s="12" t="s">
        <v>24</v>
      </c>
      <c r="W17" s="12" t="s">
        <v>26</v>
      </c>
      <c r="X17" s="12" t="s">
        <v>31</v>
      </c>
      <c r="Y17" s="20" t="s">
        <v>33</v>
      </c>
    </row>
    <row r="18" spans="1:25" ht="20.100000000000001" customHeight="1" x14ac:dyDescent="0.25">
      <c r="A18" s="42"/>
      <c r="B18" s="42"/>
      <c r="C18" s="43"/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5">
        <v>0</v>
      </c>
      <c r="K18" s="45">
        <v>0</v>
      </c>
      <c r="L18" s="45">
        <v>0</v>
      </c>
      <c r="M18" s="131">
        <v>0</v>
      </c>
      <c r="N18" s="131"/>
      <c r="O18" s="45">
        <v>0</v>
      </c>
      <c r="P18" s="46">
        <v>0</v>
      </c>
      <c r="Q18" s="4"/>
      <c r="R18" s="4"/>
      <c r="S18" s="4"/>
      <c r="T18" s="4" t="s">
        <v>53</v>
      </c>
      <c r="U18" s="4" t="s">
        <v>53</v>
      </c>
      <c r="V18" s="4" t="s">
        <v>53</v>
      </c>
      <c r="W18" s="15"/>
      <c r="X18" s="15"/>
      <c r="Y18" s="15"/>
    </row>
    <row r="19" spans="1:25" ht="20.100000000000001" customHeight="1" x14ac:dyDescent="0.25">
      <c r="A19" s="47"/>
      <c r="B19" s="47"/>
      <c r="C19" s="43"/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5">
        <v>0</v>
      </c>
      <c r="K19" s="45">
        <v>0</v>
      </c>
      <c r="L19" s="45">
        <v>0</v>
      </c>
      <c r="M19" s="131">
        <v>0</v>
      </c>
      <c r="N19" s="131"/>
      <c r="O19" s="45">
        <v>0</v>
      </c>
      <c r="P19" s="46">
        <v>0</v>
      </c>
      <c r="Q19" s="4"/>
      <c r="R19" s="4"/>
      <c r="S19" s="4"/>
      <c r="T19" s="4"/>
      <c r="U19" s="4"/>
      <c r="V19" s="4"/>
      <c r="W19" s="15"/>
      <c r="X19" s="15"/>
      <c r="Y19" s="15"/>
    </row>
    <row r="20" spans="1:25" ht="20.100000000000001" customHeight="1" x14ac:dyDescent="0.25">
      <c r="A20" s="42"/>
      <c r="B20" s="42"/>
      <c r="C20" s="43"/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5">
        <v>0</v>
      </c>
      <c r="K20" s="45">
        <v>0</v>
      </c>
      <c r="L20" s="45">
        <v>0</v>
      </c>
      <c r="M20" s="131">
        <v>0</v>
      </c>
      <c r="N20" s="131"/>
      <c r="O20" s="45">
        <v>0</v>
      </c>
      <c r="P20" s="46">
        <v>0</v>
      </c>
      <c r="Q20" s="4"/>
      <c r="R20" s="4"/>
      <c r="S20" s="4"/>
      <c r="T20" s="4"/>
      <c r="U20" s="4"/>
      <c r="V20" s="4"/>
      <c r="W20" s="15"/>
      <c r="X20" s="15"/>
      <c r="Y20" s="15"/>
    </row>
    <row r="21" spans="1:25" ht="20.100000000000001" customHeight="1" x14ac:dyDescent="0.25">
      <c r="A21" s="47"/>
      <c r="B21" s="47"/>
      <c r="C21" s="43"/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5">
        <v>0</v>
      </c>
      <c r="K21" s="45">
        <v>0</v>
      </c>
      <c r="L21" s="45">
        <v>0</v>
      </c>
      <c r="M21" s="131">
        <v>0</v>
      </c>
      <c r="N21" s="131"/>
      <c r="O21" s="45">
        <v>0</v>
      </c>
      <c r="P21" s="46">
        <v>0</v>
      </c>
      <c r="Q21" s="4"/>
      <c r="R21" s="4"/>
      <c r="S21" s="4"/>
      <c r="T21" s="4"/>
      <c r="U21" s="4"/>
      <c r="V21" s="4"/>
      <c r="W21" s="15"/>
      <c r="X21" s="15"/>
      <c r="Y21" s="15"/>
    </row>
    <row r="22" spans="1:25" ht="20.100000000000001" customHeight="1" x14ac:dyDescent="0.25">
      <c r="A22" s="42"/>
      <c r="B22" s="42"/>
      <c r="C22" s="43"/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5">
        <v>0</v>
      </c>
      <c r="K22" s="45">
        <v>0</v>
      </c>
      <c r="L22" s="45">
        <v>0</v>
      </c>
      <c r="M22" s="131">
        <v>0</v>
      </c>
      <c r="N22" s="131"/>
      <c r="O22" s="48">
        <v>0</v>
      </c>
      <c r="P22" s="46">
        <v>0</v>
      </c>
      <c r="Q22" s="2"/>
      <c r="R22" s="2"/>
      <c r="S22" s="2"/>
      <c r="T22" s="4"/>
      <c r="U22" s="4"/>
      <c r="V22" s="4"/>
      <c r="W22" s="15"/>
      <c r="X22" s="15"/>
      <c r="Y22" s="15"/>
    </row>
    <row r="23" spans="1:25" ht="20.100000000000001" customHeight="1" x14ac:dyDescent="0.25">
      <c r="A23" s="47"/>
      <c r="B23" s="47"/>
      <c r="C23" s="43"/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5">
        <v>0</v>
      </c>
      <c r="K23" s="45">
        <v>0</v>
      </c>
      <c r="L23" s="45">
        <v>0</v>
      </c>
      <c r="M23" s="131">
        <v>0</v>
      </c>
      <c r="N23" s="131"/>
      <c r="O23" s="48">
        <v>0</v>
      </c>
      <c r="P23" s="46">
        <v>0</v>
      </c>
      <c r="Q23" s="2"/>
      <c r="R23" s="2"/>
      <c r="S23" s="2"/>
      <c r="T23" s="4"/>
      <c r="U23" s="4"/>
      <c r="V23" s="4"/>
      <c r="W23" s="15"/>
      <c r="X23" s="15"/>
      <c r="Y23" s="15"/>
    </row>
    <row r="24" spans="1:25" s="41" customFormat="1" ht="20.100000000000001" customHeight="1" x14ac:dyDescent="0.25">
      <c r="A24" s="42"/>
      <c r="B24" s="42"/>
      <c r="C24" s="43"/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5">
        <v>0</v>
      </c>
      <c r="K24" s="45">
        <v>0</v>
      </c>
      <c r="L24" s="45">
        <v>0</v>
      </c>
      <c r="M24" s="131">
        <v>0</v>
      </c>
      <c r="N24" s="131"/>
      <c r="O24" s="49">
        <v>0</v>
      </c>
      <c r="P24" s="46">
        <v>0</v>
      </c>
      <c r="Q24" s="25"/>
      <c r="R24" s="25"/>
      <c r="S24" s="25"/>
      <c r="T24" s="40"/>
      <c r="U24" s="40"/>
      <c r="V24" s="40"/>
      <c r="W24" s="26"/>
      <c r="X24" s="26"/>
      <c r="Y24" s="26"/>
    </row>
    <row r="25" spans="1:25" ht="20.100000000000001" customHeight="1" x14ac:dyDescent="0.25">
      <c r="A25" s="47"/>
      <c r="B25" s="47"/>
      <c r="C25" s="43"/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5">
        <v>0</v>
      </c>
      <c r="K25" s="45">
        <v>0</v>
      </c>
      <c r="L25" s="45">
        <v>0</v>
      </c>
      <c r="M25" s="131">
        <v>0</v>
      </c>
      <c r="N25" s="131"/>
      <c r="O25" s="49">
        <v>0</v>
      </c>
      <c r="P25" s="46">
        <v>0</v>
      </c>
      <c r="Q25" s="1" t="s">
        <v>53</v>
      </c>
      <c r="R25" s="1"/>
      <c r="S25" s="1"/>
      <c r="T25" s="4"/>
      <c r="U25" s="4"/>
      <c r="V25" s="4"/>
      <c r="W25" s="15"/>
      <c r="X25" s="15"/>
      <c r="Y25" s="15"/>
    </row>
    <row r="26" spans="1:25" ht="20.100000000000001" customHeight="1" x14ac:dyDescent="0.25">
      <c r="A26" s="42"/>
      <c r="B26" s="42"/>
      <c r="C26" s="43"/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5">
        <v>0</v>
      </c>
      <c r="K26" s="45">
        <v>0</v>
      </c>
      <c r="L26" s="45">
        <v>0</v>
      </c>
      <c r="M26" s="131">
        <v>0</v>
      </c>
      <c r="N26" s="131"/>
      <c r="O26" s="49">
        <v>0</v>
      </c>
      <c r="P26" s="46">
        <v>0</v>
      </c>
      <c r="Q26" s="1"/>
      <c r="R26" s="1"/>
      <c r="S26" s="1"/>
      <c r="T26" s="4"/>
      <c r="U26" s="4"/>
      <c r="V26" s="4"/>
      <c r="W26" s="15"/>
      <c r="X26" s="15"/>
      <c r="Y26" s="15"/>
    </row>
    <row r="27" spans="1:25" ht="20.100000000000001" customHeight="1" x14ac:dyDescent="0.25">
      <c r="A27" s="47"/>
      <c r="B27" s="47"/>
      <c r="C27" s="43"/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5">
        <v>0</v>
      </c>
      <c r="K27" s="45">
        <v>0</v>
      </c>
      <c r="L27" s="45">
        <v>0</v>
      </c>
      <c r="M27" s="131">
        <v>0</v>
      </c>
      <c r="N27" s="131"/>
      <c r="O27" s="49">
        <v>0</v>
      </c>
      <c r="P27" s="46">
        <v>0</v>
      </c>
      <c r="Q27" s="1"/>
      <c r="R27" s="1"/>
      <c r="S27" s="1"/>
      <c r="T27" s="4"/>
      <c r="U27" s="4"/>
      <c r="V27" s="4"/>
      <c r="W27" s="15"/>
      <c r="X27" s="15"/>
      <c r="Y27" s="15"/>
    </row>
    <row r="28" spans="1:25" ht="20.100000000000001" customHeight="1" x14ac:dyDescent="0.25">
      <c r="A28" s="42"/>
      <c r="B28" s="42"/>
      <c r="C28" s="43"/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5">
        <v>0</v>
      </c>
      <c r="K28" s="45">
        <v>0</v>
      </c>
      <c r="L28" s="45">
        <v>0</v>
      </c>
      <c r="M28" s="131">
        <v>0</v>
      </c>
      <c r="N28" s="131"/>
      <c r="O28" s="49">
        <v>0</v>
      </c>
      <c r="P28" s="46">
        <v>0</v>
      </c>
      <c r="Q28" s="1"/>
      <c r="R28" s="1"/>
      <c r="S28" s="1"/>
      <c r="T28" s="4"/>
      <c r="U28" s="4"/>
      <c r="V28" s="4"/>
      <c r="W28" s="15"/>
      <c r="X28" s="15"/>
      <c r="Y28" s="15"/>
    </row>
    <row r="29" spans="1:25" ht="20.100000000000001" customHeight="1" x14ac:dyDescent="0.25">
      <c r="A29" s="47"/>
      <c r="B29" s="47"/>
      <c r="C29" s="43"/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5">
        <v>0</v>
      </c>
      <c r="K29" s="45">
        <v>0</v>
      </c>
      <c r="L29" s="45">
        <v>0</v>
      </c>
      <c r="M29" s="131">
        <v>0</v>
      </c>
      <c r="N29" s="131"/>
      <c r="O29" s="49">
        <v>0</v>
      </c>
      <c r="P29" s="46">
        <v>0</v>
      </c>
      <c r="Q29" s="26" t="s">
        <v>53</v>
      </c>
      <c r="R29" s="1"/>
      <c r="S29" s="1"/>
      <c r="T29" s="4"/>
      <c r="U29" s="4"/>
      <c r="V29" s="4"/>
      <c r="W29" s="15"/>
      <c r="X29" s="15"/>
      <c r="Y29" s="15"/>
    </row>
    <row r="30" spans="1:25" ht="20.100000000000001" customHeight="1" x14ac:dyDescent="0.25">
      <c r="A30" s="42"/>
      <c r="B30" s="42"/>
      <c r="C30" s="43"/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5">
        <v>0</v>
      </c>
      <c r="K30" s="45">
        <v>0</v>
      </c>
      <c r="L30" s="45">
        <v>0</v>
      </c>
      <c r="M30" s="131">
        <v>0</v>
      </c>
      <c r="N30" s="131"/>
      <c r="O30" s="49">
        <v>0</v>
      </c>
      <c r="P30" s="46">
        <v>0</v>
      </c>
      <c r="Q30" s="26" t="s">
        <v>53</v>
      </c>
      <c r="R30" s="1"/>
      <c r="S30" s="1"/>
      <c r="T30" s="4"/>
      <c r="U30" s="4"/>
      <c r="V30" s="4"/>
      <c r="W30" s="15"/>
      <c r="X30" s="15"/>
      <c r="Y30" s="15"/>
    </row>
    <row r="31" spans="1:25" ht="20.100000000000001" customHeight="1" x14ac:dyDescent="0.25">
      <c r="A31" s="47"/>
      <c r="B31" s="47"/>
      <c r="C31" s="43"/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5">
        <v>0</v>
      </c>
      <c r="K31" s="45">
        <v>0</v>
      </c>
      <c r="L31" s="45">
        <v>0</v>
      </c>
      <c r="M31" s="131">
        <v>0</v>
      </c>
      <c r="N31" s="131"/>
      <c r="O31" s="49">
        <v>0</v>
      </c>
      <c r="P31" s="46">
        <v>0</v>
      </c>
      <c r="Q31" s="26" t="s">
        <v>53</v>
      </c>
      <c r="R31" s="1"/>
      <c r="S31" s="1"/>
      <c r="T31" s="4"/>
      <c r="U31" s="4"/>
      <c r="V31" s="4"/>
      <c r="W31" s="15"/>
      <c r="X31" s="15"/>
      <c r="Y31" s="15"/>
    </row>
    <row r="32" spans="1:25" ht="20.100000000000001" customHeight="1" x14ac:dyDescent="0.25">
      <c r="A32" s="42"/>
      <c r="B32" s="42"/>
      <c r="C32" s="43"/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5">
        <v>0</v>
      </c>
      <c r="K32" s="45">
        <v>0</v>
      </c>
      <c r="L32" s="45">
        <v>0</v>
      </c>
      <c r="M32" s="131">
        <v>0</v>
      </c>
      <c r="N32" s="131"/>
      <c r="O32" s="49">
        <v>0</v>
      </c>
      <c r="P32" s="46">
        <v>0</v>
      </c>
      <c r="Q32" s="26"/>
      <c r="R32" s="1"/>
      <c r="S32" s="1"/>
      <c r="T32" s="4"/>
      <c r="U32" s="4"/>
      <c r="V32" s="4"/>
      <c r="W32" s="15"/>
      <c r="X32" s="15"/>
      <c r="Y32" s="15"/>
    </row>
    <row r="33" spans="1:25" ht="20.100000000000001" customHeight="1" x14ac:dyDescent="0.25">
      <c r="A33" s="47"/>
      <c r="B33" s="47"/>
      <c r="C33" s="43"/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5">
        <v>0</v>
      </c>
      <c r="K33" s="45">
        <v>0</v>
      </c>
      <c r="L33" s="45">
        <v>0</v>
      </c>
      <c r="M33" s="131">
        <v>0</v>
      </c>
      <c r="N33" s="131"/>
      <c r="O33" s="49">
        <v>0</v>
      </c>
      <c r="P33" s="46">
        <v>0</v>
      </c>
      <c r="Q33" s="26"/>
      <c r="R33" s="1"/>
      <c r="S33" s="1"/>
      <c r="T33" s="4"/>
      <c r="U33" s="4"/>
      <c r="V33" s="4"/>
      <c r="W33" s="15"/>
      <c r="X33" s="15"/>
      <c r="Y33" s="15"/>
    </row>
    <row r="34" spans="1:25" ht="20.100000000000001" customHeight="1" x14ac:dyDescent="0.25">
      <c r="A34" s="42"/>
      <c r="B34" s="42"/>
      <c r="C34" s="43"/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5">
        <v>0</v>
      </c>
      <c r="K34" s="45">
        <v>0</v>
      </c>
      <c r="L34" s="45">
        <v>0</v>
      </c>
      <c r="M34" s="131">
        <v>0</v>
      </c>
      <c r="N34" s="131"/>
      <c r="O34" s="49">
        <v>0</v>
      </c>
      <c r="P34" s="46">
        <v>0</v>
      </c>
      <c r="Q34" s="26" t="s">
        <v>53</v>
      </c>
      <c r="R34" s="1"/>
      <c r="S34" s="1"/>
      <c r="T34" s="4"/>
      <c r="U34" s="4"/>
      <c r="V34" s="4"/>
      <c r="W34" s="15"/>
      <c r="X34" s="15"/>
      <c r="Y34" s="15"/>
    </row>
    <row r="35" spans="1:25" ht="20.100000000000001" customHeight="1" x14ac:dyDescent="0.25">
      <c r="A35" s="47"/>
      <c r="B35" s="47"/>
      <c r="C35" s="43"/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5">
        <v>0</v>
      </c>
      <c r="K35" s="45">
        <v>0</v>
      </c>
      <c r="L35" s="45">
        <v>0</v>
      </c>
      <c r="M35" s="131">
        <v>0</v>
      </c>
      <c r="N35" s="131"/>
      <c r="O35" s="49">
        <v>0</v>
      </c>
      <c r="P35" s="46">
        <v>0</v>
      </c>
      <c r="Q35" s="26" t="s">
        <v>53</v>
      </c>
      <c r="R35" s="1"/>
      <c r="S35" s="1"/>
      <c r="T35" s="4" t="s">
        <v>53</v>
      </c>
      <c r="U35" s="4" t="s">
        <v>53</v>
      </c>
      <c r="V35" s="4" t="s">
        <v>53</v>
      </c>
      <c r="W35" s="15"/>
      <c r="X35" s="15"/>
      <c r="Y35" s="15"/>
    </row>
    <row r="36" spans="1:25" ht="20.100000000000001" customHeight="1" x14ac:dyDescent="0.25">
      <c r="A36" s="42"/>
      <c r="B36" s="42"/>
      <c r="C36" s="43"/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5">
        <v>0</v>
      </c>
      <c r="K36" s="45">
        <v>0</v>
      </c>
      <c r="L36" s="45">
        <v>0</v>
      </c>
      <c r="M36" s="131">
        <v>0</v>
      </c>
      <c r="N36" s="131"/>
      <c r="O36" s="49">
        <v>0</v>
      </c>
      <c r="P36" s="46">
        <v>0</v>
      </c>
      <c r="Q36" s="26"/>
      <c r="R36" s="1"/>
      <c r="S36" s="1"/>
      <c r="T36" s="4" t="s">
        <v>53</v>
      </c>
      <c r="U36" s="4" t="s">
        <v>53</v>
      </c>
      <c r="V36" s="4" t="s">
        <v>53</v>
      </c>
      <c r="W36" s="15"/>
      <c r="X36" s="15"/>
      <c r="Y36" s="15"/>
    </row>
    <row r="37" spans="1:25" ht="20.100000000000001" customHeight="1" x14ac:dyDescent="0.25">
      <c r="A37" s="22"/>
      <c r="B37" s="22"/>
      <c r="C37" s="3" t="s">
        <v>53</v>
      </c>
      <c r="D37" s="5" t="s">
        <v>53</v>
      </c>
      <c r="E37" s="5" t="s">
        <v>53</v>
      </c>
      <c r="F37" s="5" t="s">
        <v>53</v>
      </c>
      <c r="G37" s="5" t="s">
        <v>53</v>
      </c>
      <c r="H37" s="5" t="s">
        <v>53</v>
      </c>
      <c r="I37" s="5" t="s">
        <v>53</v>
      </c>
      <c r="J37" s="21" t="s">
        <v>53</v>
      </c>
      <c r="K37" s="21" t="s">
        <v>53</v>
      </c>
      <c r="L37" s="21" t="s">
        <v>53</v>
      </c>
      <c r="M37" s="136" t="s">
        <v>53</v>
      </c>
      <c r="N37" s="136"/>
      <c r="O37" s="23" t="s">
        <v>53</v>
      </c>
      <c r="P37" s="24" t="s">
        <v>53</v>
      </c>
      <c r="Q37" s="25"/>
      <c r="R37" s="1"/>
      <c r="S37" s="1"/>
      <c r="T37" s="4" t="s">
        <v>53</v>
      </c>
      <c r="U37" s="4" t="s">
        <v>53</v>
      </c>
      <c r="V37" s="4" t="s">
        <v>53</v>
      </c>
      <c r="W37" s="15"/>
      <c r="X37" s="15"/>
      <c r="Y37" s="15"/>
    </row>
    <row r="38" spans="1:25" x14ac:dyDescent="0.25">
      <c r="D38" s="5" t="s">
        <v>53</v>
      </c>
    </row>
    <row r="39" spans="1:25" x14ac:dyDescent="0.25">
      <c r="C39" s="50" t="s">
        <v>132</v>
      </c>
      <c r="D39" t="s">
        <v>133</v>
      </c>
    </row>
    <row r="40" spans="1:25" x14ac:dyDescent="0.25">
      <c r="D40" t="s">
        <v>134</v>
      </c>
    </row>
  </sheetData>
  <mergeCells count="87">
    <mergeCell ref="M37:N37"/>
    <mergeCell ref="M32:N32"/>
    <mergeCell ref="M33:N33"/>
    <mergeCell ref="M34:N34"/>
    <mergeCell ref="M35:N35"/>
    <mergeCell ref="M36:N36"/>
    <mergeCell ref="M27:N27"/>
    <mergeCell ref="M28:N28"/>
    <mergeCell ref="M29:N29"/>
    <mergeCell ref="M30:N30"/>
    <mergeCell ref="M31:N31"/>
    <mergeCell ref="T13:V13"/>
    <mergeCell ref="W13:Y13"/>
    <mergeCell ref="M26:N26"/>
    <mergeCell ref="M21:N21"/>
    <mergeCell ref="M22:N22"/>
    <mergeCell ref="M23:N23"/>
    <mergeCell ref="M24:N24"/>
    <mergeCell ref="M25:N25"/>
    <mergeCell ref="M16:N17"/>
    <mergeCell ref="M18:N18"/>
    <mergeCell ref="M19:N19"/>
    <mergeCell ref="M20:N20"/>
    <mergeCell ref="Q6:S6"/>
    <mergeCell ref="Q7:S7"/>
    <mergeCell ref="M5:O5"/>
    <mergeCell ref="M6:O6"/>
    <mergeCell ref="B12:C14"/>
    <mergeCell ref="D12:D14"/>
    <mergeCell ref="E12:E14"/>
    <mergeCell ref="F12:L14"/>
    <mergeCell ref="M12:O12"/>
    <mergeCell ref="M14:O14"/>
    <mergeCell ref="M8:O8"/>
    <mergeCell ref="M7:O7"/>
    <mergeCell ref="M9:O9"/>
    <mergeCell ref="Q5:S5"/>
    <mergeCell ref="M3:Y3"/>
    <mergeCell ref="A2:Y2"/>
    <mergeCell ref="K3:L3"/>
    <mergeCell ref="B3:J4"/>
    <mergeCell ref="W4:Y4"/>
    <mergeCell ref="M4:O4"/>
    <mergeCell ref="Q4:S4"/>
    <mergeCell ref="K4:L4"/>
    <mergeCell ref="T5:V5"/>
    <mergeCell ref="W5:Y5"/>
    <mergeCell ref="T6:V6"/>
    <mergeCell ref="W6:Y6"/>
    <mergeCell ref="T4:V4"/>
    <mergeCell ref="W12:Y12"/>
    <mergeCell ref="A12:A14"/>
    <mergeCell ref="A7:A8"/>
    <mergeCell ref="B5:L6"/>
    <mergeCell ref="B7:L8"/>
    <mergeCell ref="A9:A11"/>
    <mergeCell ref="A5:A6"/>
    <mergeCell ref="B9:L11"/>
    <mergeCell ref="T7:V7"/>
    <mergeCell ref="W7:Y7"/>
    <mergeCell ref="Q8:S8"/>
    <mergeCell ref="Q9:S9"/>
    <mergeCell ref="T8:V8"/>
    <mergeCell ref="W8:Y8"/>
    <mergeCell ref="T9:V9"/>
    <mergeCell ref="W9:Y9"/>
    <mergeCell ref="T10:V10"/>
    <mergeCell ref="W10:Y10"/>
    <mergeCell ref="T12:V12"/>
    <mergeCell ref="J16:K16"/>
    <mergeCell ref="Q10:S10"/>
    <mergeCell ref="Q12:S12"/>
    <mergeCell ref="Q13:S13"/>
    <mergeCell ref="Q14:S14"/>
    <mergeCell ref="Q16:Y16"/>
    <mergeCell ref="T14:V14"/>
    <mergeCell ref="W14:Y14"/>
    <mergeCell ref="O16:O17"/>
    <mergeCell ref="P16:P17"/>
    <mergeCell ref="M10:O10"/>
    <mergeCell ref="M11:O11"/>
    <mergeCell ref="A15:Y15"/>
    <mergeCell ref="A16:A17"/>
    <mergeCell ref="B16:B17"/>
    <mergeCell ref="C16:C17"/>
    <mergeCell ref="D16:I16"/>
    <mergeCell ref="L16:L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5EC8-F2EB-4866-B4A8-DFF1FBB520D4}">
  <sheetPr>
    <tabColor rgb="FF00B050"/>
  </sheetPr>
  <dimension ref="A1:Q48"/>
  <sheetViews>
    <sheetView topLeftCell="A22" workbookViewId="0">
      <selection activeCell="C54" sqref="C54"/>
    </sheetView>
  </sheetViews>
  <sheetFormatPr baseColWidth="10" defaultColWidth="17.5703125" defaultRowHeight="15" x14ac:dyDescent="0.25"/>
  <cols>
    <col min="2" max="2" width="26" customWidth="1"/>
    <col min="3" max="3" width="22.7109375" customWidth="1"/>
  </cols>
  <sheetData>
    <row r="1" spans="1:17" x14ac:dyDescent="0.25">
      <c r="A1" t="s">
        <v>53</v>
      </c>
      <c r="B1" t="s">
        <v>53</v>
      </c>
      <c r="C1" t="s">
        <v>53</v>
      </c>
      <c r="D1" t="s">
        <v>53</v>
      </c>
      <c r="E1" t="s">
        <v>53</v>
      </c>
      <c r="F1" t="s">
        <v>53</v>
      </c>
      <c r="G1" t="s">
        <v>53</v>
      </c>
      <c r="H1" t="s">
        <v>53</v>
      </c>
      <c r="I1" t="s">
        <v>53</v>
      </c>
      <c r="J1" t="s">
        <v>53</v>
      </c>
      <c r="K1" t="s">
        <v>53</v>
      </c>
      <c r="L1" t="s">
        <v>53</v>
      </c>
      <c r="M1" t="s">
        <v>53</v>
      </c>
      <c r="N1" t="s">
        <v>53</v>
      </c>
    </row>
    <row r="2" spans="1:17" x14ac:dyDescent="0.25">
      <c r="A2" t="s">
        <v>53</v>
      </c>
      <c r="B2" t="s">
        <v>54</v>
      </c>
      <c r="C2" t="s">
        <v>55</v>
      </c>
      <c r="D2" s="27" t="s">
        <v>56</v>
      </c>
      <c r="E2" s="27" t="s">
        <v>57</v>
      </c>
      <c r="F2" s="27" t="s">
        <v>58</v>
      </c>
      <c r="G2" s="27" t="s">
        <v>59</v>
      </c>
      <c r="H2" s="27" t="s">
        <v>60</v>
      </c>
      <c r="I2" s="27" t="s">
        <v>61</v>
      </c>
      <c r="J2" s="27" t="s">
        <v>62</v>
      </c>
      <c r="K2" s="27" t="s">
        <v>63</v>
      </c>
      <c r="L2" s="27" t="s">
        <v>64</v>
      </c>
      <c r="M2" s="27" t="s">
        <v>65</v>
      </c>
      <c r="N2" s="27" t="s">
        <v>66</v>
      </c>
      <c r="O2" s="27"/>
      <c r="P2" s="27"/>
      <c r="Q2" s="27"/>
    </row>
    <row r="3" spans="1:17" ht="45" x14ac:dyDescent="0.25">
      <c r="D3" s="27" t="s">
        <v>67</v>
      </c>
      <c r="E3" s="27" t="s">
        <v>68</v>
      </c>
      <c r="F3" s="27" t="s">
        <v>69</v>
      </c>
      <c r="G3" s="27" t="s">
        <v>70</v>
      </c>
      <c r="H3" s="27" t="s">
        <v>71</v>
      </c>
      <c r="I3" s="27" t="s">
        <v>72</v>
      </c>
      <c r="J3" s="27" t="s">
        <v>73</v>
      </c>
      <c r="K3" s="27" t="s">
        <v>74</v>
      </c>
      <c r="L3" s="27" t="s">
        <v>75</v>
      </c>
      <c r="M3" s="27" t="s">
        <v>76</v>
      </c>
      <c r="N3" s="27" t="s">
        <v>77</v>
      </c>
    </row>
    <row r="4" spans="1:17" x14ac:dyDescent="0.25">
      <c r="A4">
        <v>22660340</v>
      </c>
      <c r="B4" t="s">
        <v>78</v>
      </c>
      <c r="C4" t="s">
        <v>79</v>
      </c>
      <c r="D4" s="28" t="s">
        <v>80</v>
      </c>
      <c r="E4" s="28" t="s">
        <v>80</v>
      </c>
      <c r="F4" s="28" t="s">
        <v>80</v>
      </c>
      <c r="G4" s="28" t="s">
        <v>80</v>
      </c>
      <c r="H4" s="28" t="s">
        <v>80</v>
      </c>
      <c r="I4" s="28" t="s">
        <v>80</v>
      </c>
      <c r="J4" s="28" t="s">
        <v>80</v>
      </c>
      <c r="K4" s="28" t="s">
        <v>80</v>
      </c>
      <c r="L4" s="28" t="s">
        <v>80</v>
      </c>
      <c r="M4" s="28" t="s">
        <v>80</v>
      </c>
      <c r="N4" s="28" t="s">
        <v>80</v>
      </c>
    </row>
    <row r="5" spans="1:17" x14ac:dyDescent="0.25">
      <c r="A5">
        <v>22660281</v>
      </c>
      <c r="B5" t="s">
        <v>81</v>
      </c>
      <c r="C5" t="s">
        <v>82</v>
      </c>
      <c r="D5" s="28"/>
      <c r="E5" s="28" t="s">
        <v>80</v>
      </c>
      <c r="F5" s="28" t="s">
        <v>80</v>
      </c>
      <c r="G5" s="28" t="s">
        <v>80</v>
      </c>
      <c r="H5" s="28" t="s">
        <v>80</v>
      </c>
      <c r="I5" s="28" t="s">
        <v>80</v>
      </c>
      <c r="J5" s="28" t="s">
        <v>80</v>
      </c>
      <c r="K5" s="28" t="s">
        <v>80</v>
      </c>
      <c r="L5" s="28"/>
      <c r="M5" s="28" t="s">
        <v>80</v>
      </c>
      <c r="N5" s="28" t="s">
        <v>80</v>
      </c>
    </row>
    <row r="6" spans="1:17" x14ac:dyDescent="0.25">
      <c r="A6">
        <v>22660282</v>
      </c>
      <c r="B6" t="s">
        <v>83</v>
      </c>
      <c r="C6" t="s">
        <v>84</v>
      </c>
      <c r="D6" s="28" t="s">
        <v>80</v>
      </c>
      <c r="E6" s="28" t="s">
        <v>80</v>
      </c>
      <c r="F6" s="28" t="s">
        <v>80</v>
      </c>
      <c r="G6" s="28" t="s">
        <v>80</v>
      </c>
      <c r="H6" s="28" t="s">
        <v>80</v>
      </c>
      <c r="I6" s="28" t="s">
        <v>80</v>
      </c>
      <c r="J6" s="28" t="s">
        <v>80</v>
      </c>
      <c r="K6" s="28" t="s">
        <v>80</v>
      </c>
      <c r="L6" s="28" t="s">
        <v>80</v>
      </c>
      <c r="M6" s="28" t="s">
        <v>80</v>
      </c>
      <c r="N6" s="28" t="s">
        <v>80</v>
      </c>
    </row>
    <row r="7" spans="1:17" x14ac:dyDescent="0.25">
      <c r="A7">
        <v>22660343</v>
      </c>
      <c r="B7" t="s">
        <v>85</v>
      </c>
      <c r="C7" t="s">
        <v>86</v>
      </c>
      <c r="D7" s="28" t="s">
        <v>80</v>
      </c>
      <c r="E7" s="28" t="s">
        <v>80</v>
      </c>
      <c r="F7" s="28" t="s">
        <v>80</v>
      </c>
      <c r="G7" s="28" t="s">
        <v>80</v>
      </c>
      <c r="H7" s="28" t="s">
        <v>80</v>
      </c>
      <c r="I7" s="28" t="s">
        <v>80</v>
      </c>
      <c r="J7" s="28" t="s">
        <v>80</v>
      </c>
      <c r="K7" s="28" t="s">
        <v>80</v>
      </c>
      <c r="L7" s="28" t="s">
        <v>80</v>
      </c>
      <c r="M7" s="28" t="s">
        <v>80</v>
      </c>
      <c r="N7" s="28" t="s">
        <v>80</v>
      </c>
    </row>
    <row r="8" spans="1:17" x14ac:dyDescent="0.25">
      <c r="A8">
        <v>22660287</v>
      </c>
      <c r="B8" t="s">
        <v>87</v>
      </c>
      <c r="C8" t="s">
        <v>88</v>
      </c>
      <c r="D8" s="28" t="s">
        <v>80</v>
      </c>
      <c r="E8" s="28" t="s">
        <v>80</v>
      </c>
      <c r="F8" s="28" t="s">
        <v>80</v>
      </c>
      <c r="G8" s="28" t="s">
        <v>80</v>
      </c>
      <c r="H8" s="28" t="s">
        <v>80</v>
      </c>
      <c r="I8" s="28" t="s">
        <v>80</v>
      </c>
      <c r="J8" s="28" t="s">
        <v>80</v>
      </c>
      <c r="K8" s="28" t="s">
        <v>80</v>
      </c>
      <c r="L8" s="28" t="s">
        <v>80</v>
      </c>
      <c r="M8" s="28"/>
      <c r="N8" s="28" t="s">
        <v>80</v>
      </c>
    </row>
    <row r="9" spans="1:17" x14ac:dyDescent="0.25">
      <c r="A9">
        <v>22660345</v>
      </c>
      <c r="B9" t="s">
        <v>89</v>
      </c>
      <c r="C9" t="s">
        <v>90</v>
      </c>
      <c r="D9" s="28" t="s">
        <v>80</v>
      </c>
      <c r="E9" s="28" t="s">
        <v>80</v>
      </c>
      <c r="F9" s="28" t="s">
        <v>80</v>
      </c>
      <c r="G9" s="28" t="s">
        <v>80</v>
      </c>
      <c r="H9" s="28" t="s">
        <v>80</v>
      </c>
      <c r="I9" s="28" t="s">
        <v>80</v>
      </c>
      <c r="J9" s="28" t="s">
        <v>80</v>
      </c>
      <c r="K9" s="28" t="s">
        <v>80</v>
      </c>
      <c r="L9" s="28" t="s">
        <v>80</v>
      </c>
      <c r="M9" s="28" t="s">
        <v>80</v>
      </c>
      <c r="N9" s="28" t="s">
        <v>80</v>
      </c>
    </row>
    <row r="10" spans="1:17" x14ac:dyDescent="0.25">
      <c r="A10">
        <v>22660349</v>
      </c>
      <c r="B10" t="s">
        <v>91</v>
      </c>
      <c r="C10" t="s">
        <v>92</v>
      </c>
      <c r="D10" s="28" t="s">
        <v>80</v>
      </c>
      <c r="E10" s="28" t="s">
        <v>80</v>
      </c>
      <c r="F10" s="28" t="s">
        <v>80</v>
      </c>
      <c r="G10" s="28" t="s">
        <v>80</v>
      </c>
      <c r="H10" s="28" t="s">
        <v>80</v>
      </c>
      <c r="I10" s="28" t="s">
        <v>80</v>
      </c>
      <c r="J10" s="28" t="s">
        <v>80</v>
      </c>
      <c r="K10" s="28" t="s">
        <v>80</v>
      </c>
      <c r="L10" s="28" t="s">
        <v>80</v>
      </c>
      <c r="M10" s="28" t="s">
        <v>80</v>
      </c>
      <c r="N10" s="28" t="s">
        <v>80</v>
      </c>
    </row>
    <row r="11" spans="1:17" x14ac:dyDescent="0.25">
      <c r="A11">
        <v>22660304</v>
      </c>
      <c r="B11" t="s">
        <v>93</v>
      </c>
      <c r="C11" t="s">
        <v>94</v>
      </c>
      <c r="D11" s="28" t="s">
        <v>80</v>
      </c>
      <c r="E11" s="28" t="s">
        <v>80</v>
      </c>
      <c r="F11" s="28" t="s">
        <v>80</v>
      </c>
      <c r="G11" s="28" t="s">
        <v>80</v>
      </c>
      <c r="H11" s="28" t="s">
        <v>80</v>
      </c>
      <c r="I11" s="28" t="s">
        <v>80</v>
      </c>
      <c r="J11" s="28" t="s">
        <v>80</v>
      </c>
      <c r="K11" s="28" t="s">
        <v>80</v>
      </c>
      <c r="L11" s="28" t="s">
        <v>80</v>
      </c>
      <c r="M11" s="28" t="s">
        <v>80</v>
      </c>
      <c r="N11" s="28" t="s">
        <v>80</v>
      </c>
    </row>
    <row r="12" spans="1:17" x14ac:dyDescent="0.25">
      <c r="A12">
        <v>22660350</v>
      </c>
      <c r="B12" t="s">
        <v>95</v>
      </c>
      <c r="C12" t="s">
        <v>96</v>
      </c>
      <c r="D12" s="28" t="s">
        <v>80</v>
      </c>
      <c r="E12" s="28" t="s">
        <v>80</v>
      </c>
      <c r="F12" s="28" t="s">
        <v>80</v>
      </c>
      <c r="G12" s="28" t="s">
        <v>80</v>
      </c>
      <c r="H12" s="28" t="s">
        <v>80</v>
      </c>
      <c r="I12" s="28" t="s">
        <v>80</v>
      </c>
      <c r="J12" s="28" t="s">
        <v>80</v>
      </c>
      <c r="K12" s="28"/>
      <c r="L12" s="28" t="s">
        <v>80</v>
      </c>
      <c r="M12" s="28" t="s">
        <v>80</v>
      </c>
      <c r="N12" s="28" t="s">
        <v>80</v>
      </c>
    </row>
    <row r="13" spans="1:17" x14ac:dyDescent="0.25">
      <c r="A13">
        <v>22660351</v>
      </c>
      <c r="B13" t="s">
        <v>97</v>
      </c>
      <c r="C13" t="s">
        <v>98</v>
      </c>
      <c r="D13" s="28"/>
      <c r="E13" s="28" t="s">
        <v>80</v>
      </c>
      <c r="F13" s="28" t="s">
        <v>80</v>
      </c>
      <c r="G13" s="28" t="s">
        <v>80</v>
      </c>
      <c r="H13" s="28" t="s">
        <v>80</v>
      </c>
      <c r="I13" s="28"/>
      <c r="J13" s="28" t="s">
        <v>80</v>
      </c>
      <c r="K13" s="28"/>
      <c r="L13" s="28"/>
      <c r="M13" s="28" t="s">
        <v>80</v>
      </c>
      <c r="N13" s="28"/>
    </row>
    <row r="14" spans="1:17" x14ac:dyDescent="0.25">
      <c r="A14">
        <v>22660308</v>
      </c>
      <c r="B14" t="s">
        <v>99</v>
      </c>
      <c r="C14" t="s">
        <v>100</v>
      </c>
      <c r="D14" s="28" t="s">
        <v>80</v>
      </c>
      <c r="E14" s="28" t="s">
        <v>80</v>
      </c>
      <c r="F14" s="28"/>
      <c r="G14" s="28" t="s">
        <v>80</v>
      </c>
      <c r="H14" s="28" t="s">
        <v>80</v>
      </c>
      <c r="I14" s="28"/>
      <c r="J14" s="28" t="s">
        <v>80</v>
      </c>
      <c r="K14" s="28" t="s">
        <v>80</v>
      </c>
      <c r="L14" s="28" t="s">
        <v>80</v>
      </c>
      <c r="M14" s="28" t="s">
        <v>80</v>
      </c>
      <c r="N14" s="28"/>
    </row>
    <row r="15" spans="1:17" x14ac:dyDescent="0.25">
      <c r="A15">
        <v>22660313</v>
      </c>
      <c r="B15" t="s">
        <v>101</v>
      </c>
      <c r="C15" t="s">
        <v>102</v>
      </c>
      <c r="D15" s="28" t="s">
        <v>80</v>
      </c>
      <c r="E15" s="28" t="s">
        <v>80</v>
      </c>
      <c r="F15" s="28" t="s">
        <v>80</v>
      </c>
      <c r="G15" s="28" t="s">
        <v>80</v>
      </c>
      <c r="H15" s="28" t="s">
        <v>80</v>
      </c>
      <c r="I15" s="28" t="s">
        <v>80</v>
      </c>
      <c r="J15" s="28" t="s">
        <v>80</v>
      </c>
      <c r="K15" s="28" t="s">
        <v>80</v>
      </c>
      <c r="L15" s="28" t="s">
        <v>80</v>
      </c>
      <c r="M15" s="28" t="s">
        <v>80</v>
      </c>
      <c r="N15" s="28" t="s">
        <v>80</v>
      </c>
    </row>
    <row r="16" spans="1:17" x14ac:dyDescent="0.25">
      <c r="A16">
        <v>22660357</v>
      </c>
      <c r="B16" t="s">
        <v>103</v>
      </c>
      <c r="C16" t="s">
        <v>104</v>
      </c>
      <c r="D16" s="28" t="s">
        <v>80</v>
      </c>
      <c r="E16" s="28" t="s">
        <v>80</v>
      </c>
      <c r="F16" s="28" t="s">
        <v>80</v>
      </c>
      <c r="G16" s="28" t="s">
        <v>80</v>
      </c>
      <c r="H16" s="28" t="s">
        <v>80</v>
      </c>
      <c r="I16" s="28" t="s">
        <v>80</v>
      </c>
      <c r="J16" s="28" t="s">
        <v>80</v>
      </c>
      <c r="K16" s="28" t="s">
        <v>80</v>
      </c>
      <c r="L16" s="28" t="s">
        <v>80</v>
      </c>
      <c r="M16" s="28" t="s">
        <v>80</v>
      </c>
      <c r="N16" s="28" t="s">
        <v>80</v>
      </c>
    </row>
    <row r="17" spans="1:14" x14ac:dyDescent="0.25">
      <c r="A17">
        <v>22660364</v>
      </c>
      <c r="B17" t="s">
        <v>105</v>
      </c>
      <c r="C17" t="s">
        <v>106</v>
      </c>
      <c r="D17" s="28" t="s">
        <v>80</v>
      </c>
      <c r="E17" s="28" t="s">
        <v>80</v>
      </c>
      <c r="F17" s="28" t="s">
        <v>80</v>
      </c>
      <c r="G17" s="28" t="s">
        <v>80</v>
      </c>
      <c r="H17" s="28" t="s">
        <v>80</v>
      </c>
      <c r="I17" s="28"/>
      <c r="J17" s="28" t="s">
        <v>80</v>
      </c>
      <c r="K17" s="28" t="s">
        <v>80</v>
      </c>
      <c r="L17" s="28" t="s">
        <v>80</v>
      </c>
      <c r="M17" s="28" t="s">
        <v>80</v>
      </c>
      <c r="N17" s="28"/>
    </row>
    <row r="18" spans="1:14" x14ac:dyDescent="0.25">
      <c r="A18">
        <v>22660371</v>
      </c>
      <c r="B18" t="s">
        <v>107</v>
      </c>
      <c r="C18" t="s">
        <v>108</v>
      </c>
      <c r="D18" s="28" t="s">
        <v>80</v>
      </c>
      <c r="E18" s="28" t="s">
        <v>80</v>
      </c>
      <c r="F18" s="28" t="s">
        <v>80</v>
      </c>
      <c r="G18" s="28" t="s">
        <v>80</v>
      </c>
      <c r="H18" s="28" t="s">
        <v>80</v>
      </c>
      <c r="I18" s="28" t="s">
        <v>80</v>
      </c>
      <c r="J18" s="28" t="s">
        <v>80</v>
      </c>
      <c r="K18" s="28" t="s">
        <v>80</v>
      </c>
      <c r="L18" s="28" t="s">
        <v>80</v>
      </c>
      <c r="M18" s="28" t="s">
        <v>80</v>
      </c>
      <c r="N18" s="28" t="s">
        <v>80</v>
      </c>
    </row>
    <row r="19" spans="1:14" x14ac:dyDescent="0.25">
      <c r="A19">
        <v>22660324</v>
      </c>
      <c r="B19" t="s">
        <v>109</v>
      </c>
      <c r="C19" t="s">
        <v>110</v>
      </c>
      <c r="D19" s="28" t="s">
        <v>80</v>
      </c>
      <c r="E19" s="28" t="s">
        <v>80</v>
      </c>
      <c r="F19" s="28" t="s">
        <v>80</v>
      </c>
      <c r="G19" s="28" t="s">
        <v>80</v>
      </c>
      <c r="H19" s="28" t="s">
        <v>80</v>
      </c>
      <c r="I19" s="28" t="s">
        <v>80</v>
      </c>
      <c r="J19" s="28" t="s">
        <v>80</v>
      </c>
      <c r="K19" s="28" t="s">
        <v>80</v>
      </c>
      <c r="L19" s="28" t="s">
        <v>80</v>
      </c>
      <c r="M19" s="28" t="s">
        <v>80</v>
      </c>
      <c r="N19" s="28" t="s">
        <v>80</v>
      </c>
    </row>
    <row r="20" spans="1:14" x14ac:dyDescent="0.25">
      <c r="A20">
        <v>22660372</v>
      </c>
      <c r="B20" t="s">
        <v>111</v>
      </c>
      <c r="C20" t="s">
        <v>112</v>
      </c>
      <c r="D20" s="28"/>
      <c r="E20" s="28" t="s">
        <v>80</v>
      </c>
      <c r="F20" s="28" t="s">
        <v>80</v>
      </c>
      <c r="G20" s="28" t="s">
        <v>80</v>
      </c>
      <c r="H20" s="28" t="s">
        <v>80</v>
      </c>
      <c r="I20" s="28" t="s">
        <v>80</v>
      </c>
      <c r="J20" s="28" t="s">
        <v>80</v>
      </c>
      <c r="K20" s="28" t="s">
        <v>80</v>
      </c>
      <c r="L20" s="28" t="s">
        <v>80</v>
      </c>
      <c r="M20" s="28" t="s">
        <v>80</v>
      </c>
      <c r="N20" s="28" t="s">
        <v>80</v>
      </c>
    </row>
    <row r="21" spans="1:14" x14ac:dyDescent="0.25">
      <c r="A21">
        <v>22660379</v>
      </c>
      <c r="B21" t="s">
        <v>113</v>
      </c>
      <c r="C21" t="s">
        <v>114</v>
      </c>
      <c r="D21" s="28" t="s">
        <v>80</v>
      </c>
      <c r="E21" s="28" t="s">
        <v>80</v>
      </c>
      <c r="F21" s="28" t="s">
        <v>80</v>
      </c>
      <c r="G21" s="28" t="s">
        <v>80</v>
      </c>
      <c r="H21" s="28" t="s">
        <v>80</v>
      </c>
      <c r="I21" s="28" t="s">
        <v>80</v>
      </c>
      <c r="J21" s="28" t="s">
        <v>80</v>
      </c>
      <c r="K21" s="28" t="s">
        <v>80</v>
      </c>
      <c r="L21" s="28" t="s">
        <v>80</v>
      </c>
      <c r="M21" s="28"/>
      <c r="N21" s="28" t="s">
        <v>80</v>
      </c>
    </row>
    <row r="22" spans="1:14" x14ac:dyDescent="0.25">
      <c r="A22">
        <v>22660380</v>
      </c>
      <c r="B22" t="s">
        <v>115</v>
      </c>
      <c r="C22" t="s">
        <v>116</v>
      </c>
      <c r="D22" s="28" t="s">
        <v>80</v>
      </c>
      <c r="E22" s="28" t="s">
        <v>80</v>
      </c>
      <c r="F22" s="28" t="s">
        <v>80</v>
      </c>
      <c r="G22" s="28" t="s">
        <v>80</v>
      </c>
      <c r="H22" s="28" t="s">
        <v>80</v>
      </c>
      <c r="I22" s="28" t="s">
        <v>80</v>
      </c>
      <c r="J22" s="28" t="s">
        <v>80</v>
      </c>
      <c r="K22" s="28" t="s">
        <v>80</v>
      </c>
      <c r="L22" s="28" t="s">
        <v>80</v>
      </c>
      <c r="M22" s="28" t="s">
        <v>80</v>
      </c>
      <c r="N22" s="28" t="s">
        <v>80</v>
      </c>
    </row>
    <row r="23" spans="1:14" x14ac:dyDescent="0.25">
      <c r="A23">
        <v>22660384</v>
      </c>
      <c r="B23" t="s">
        <v>117</v>
      </c>
      <c r="C23" t="s">
        <v>118</v>
      </c>
      <c r="D23" s="28" t="s">
        <v>80</v>
      </c>
      <c r="E23" s="28" t="s">
        <v>80</v>
      </c>
      <c r="F23" s="28" t="s">
        <v>80</v>
      </c>
      <c r="G23" s="28" t="s">
        <v>80</v>
      </c>
      <c r="H23" s="28" t="s">
        <v>80</v>
      </c>
      <c r="I23" s="28" t="s">
        <v>80</v>
      </c>
      <c r="J23" s="28" t="s">
        <v>80</v>
      </c>
      <c r="K23" s="28" t="s">
        <v>80</v>
      </c>
      <c r="L23" s="28" t="s">
        <v>80</v>
      </c>
      <c r="M23" s="28" t="s">
        <v>80</v>
      </c>
      <c r="N23" s="28" t="s">
        <v>80</v>
      </c>
    </row>
    <row r="28" spans="1:14" ht="30" x14ac:dyDescent="0.25">
      <c r="A28" s="28" t="s">
        <v>119</v>
      </c>
      <c r="B28" s="28" t="s">
        <v>120</v>
      </c>
      <c r="C28" s="28" t="s">
        <v>121</v>
      </c>
      <c r="D28" s="28" t="s">
        <v>122</v>
      </c>
      <c r="E28" s="28" t="s">
        <v>123</v>
      </c>
      <c r="F28" s="29" t="s">
        <v>124</v>
      </c>
      <c r="G28" s="28" t="s">
        <v>125</v>
      </c>
      <c r="H28" s="28" t="s">
        <v>126</v>
      </c>
      <c r="I28" s="29" t="s">
        <v>127</v>
      </c>
      <c r="J28" s="28" t="s">
        <v>128</v>
      </c>
      <c r="K28" s="28" t="s">
        <v>129</v>
      </c>
      <c r="L28" s="28" t="s">
        <v>130</v>
      </c>
    </row>
    <row r="29" spans="1:14" x14ac:dyDescent="0.25">
      <c r="A29" s="28">
        <v>22660340</v>
      </c>
      <c r="B29" t="s">
        <v>78</v>
      </c>
      <c r="C29" t="s">
        <v>79</v>
      </c>
      <c r="D29" s="28" t="s">
        <v>131</v>
      </c>
      <c r="E29" s="28">
        <v>85</v>
      </c>
      <c r="F29" s="28">
        <v>86</v>
      </c>
      <c r="G29" s="28">
        <v>78</v>
      </c>
      <c r="H29" s="28">
        <v>100</v>
      </c>
      <c r="I29" s="28">
        <v>93</v>
      </c>
      <c r="J29" s="28">
        <v>93</v>
      </c>
      <c r="K29" s="37">
        <f>AVERAGE(E29:J29)</f>
        <v>89.166666666666671</v>
      </c>
      <c r="L29" s="28">
        <v>100</v>
      </c>
    </row>
    <row r="30" spans="1:14" x14ac:dyDescent="0.25">
      <c r="A30" s="30">
        <v>22660281</v>
      </c>
      <c r="B30" s="31" t="s">
        <v>81</v>
      </c>
      <c r="C30" s="31" t="s">
        <v>82</v>
      </c>
      <c r="D30" s="30" t="s">
        <v>131</v>
      </c>
      <c r="E30" s="30">
        <v>78</v>
      </c>
      <c r="F30" s="30">
        <v>78</v>
      </c>
      <c r="G30" s="30">
        <v>77</v>
      </c>
      <c r="H30" s="30">
        <v>83</v>
      </c>
      <c r="I30" s="30">
        <v>83</v>
      </c>
      <c r="J30" s="30">
        <v>86</v>
      </c>
      <c r="K30" s="38">
        <f t="shared" ref="K30:K48" si="0">AVERAGE(E30:J30)</f>
        <v>80.833333333333329</v>
      </c>
      <c r="L30" s="30">
        <v>100</v>
      </c>
    </row>
    <row r="31" spans="1:14" x14ac:dyDescent="0.25">
      <c r="A31" s="28">
        <v>22660282</v>
      </c>
      <c r="B31" t="s">
        <v>83</v>
      </c>
      <c r="C31" t="s">
        <v>84</v>
      </c>
      <c r="D31" s="28" t="s">
        <v>131</v>
      </c>
      <c r="E31" s="28">
        <v>86</v>
      </c>
      <c r="F31" s="28">
        <v>100</v>
      </c>
      <c r="G31" s="28">
        <v>85</v>
      </c>
      <c r="H31" s="28">
        <v>98</v>
      </c>
      <c r="I31" s="28">
        <v>96</v>
      </c>
      <c r="J31" s="28">
        <v>90</v>
      </c>
      <c r="K31" s="37">
        <f t="shared" si="0"/>
        <v>92.5</v>
      </c>
      <c r="L31" s="28">
        <v>100</v>
      </c>
    </row>
    <row r="32" spans="1:14" x14ac:dyDescent="0.25">
      <c r="A32" s="30">
        <v>22660343</v>
      </c>
      <c r="B32" s="31" t="s">
        <v>85</v>
      </c>
      <c r="C32" s="31" t="s">
        <v>86</v>
      </c>
      <c r="D32" s="30" t="s">
        <v>131</v>
      </c>
      <c r="E32" s="30">
        <v>73</v>
      </c>
      <c r="F32" s="30">
        <v>76</v>
      </c>
      <c r="G32" s="30">
        <v>75</v>
      </c>
      <c r="H32" s="30">
        <v>87</v>
      </c>
      <c r="I32" s="30">
        <v>91</v>
      </c>
      <c r="J32" s="30">
        <v>83</v>
      </c>
      <c r="K32" s="38">
        <f t="shared" si="0"/>
        <v>80.833333333333329</v>
      </c>
      <c r="L32" s="30">
        <v>100</v>
      </c>
    </row>
    <row r="33" spans="1:12" x14ac:dyDescent="0.25">
      <c r="A33" s="28">
        <v>22660287</v>
      </c>
      <c r="B33" t="s">
        <v>87</v>
      </c>
      <c r="C33" t="s">
        <v>88</v>
      </c>
      <c r="D33" s="28" t="s">
        <v>131</v>
      </c>
      <c r="E33" s="28">
        <v>80</v>
      </c>
      <c r="F33" s="28">
        <v>88</v>
      </c>
      <c r="G33" s="28">
        <v>75</v>
      </c>
      <c r="H33" s="28">
        <v>97</v>
      </c>
      <c r="I33" s="28">
        <v>78</v>
      </c>
      <c r="J33" s="28">
        <v>85</v>
      </c>
      <c r="K33" s="37">
        <f t="shared" si="0"/>
        <v>83.833333333333329</v>
      </c>
      <c r="L33" s="28">
        <v>100</v>
      </c>
    </row>
    <row r="34" spans="1:12" x14ac:dyDescent="0.25">
      <c r="A34" s="30">
        <v>22660345</v>
      </c>
      <c r="B34" s="31" t="s">
        <v>89</v>
      </c>
      <c r="C34" s="31" t="s">
        <v>90</v>
      </c>
      <c r="D34" s="30" t="s">
        <v>131</v>
      </c>
      <c r="E34" s="30">
        <v>80</v>
      </c>
      <c r="F34" s="30">
        <v>70</v>
      </c>
      <c r="G34" s="30">
        <v>75</v>
      </c>
      <c r="H34" s="30">
        <v>94</v>
      </c>
      <c r="I34" s="30">
        <v>88</v>
      </c>
      <c r="J34" s="30">
        <v>85</v>
      </c>
      <c r="K34" s="38">
        <f t="shared" si="0"/>
        <v>82</v>
      </c>
      <c r="L34" s="30">
        <v>100</v>
      </c>
    </row>
    <row r="35" spans="1:12" x14ac:dyDescent="0.25">
      <c r="A35" s="28">
        <v>22660349</v>
      </c>
      <c r="B35" t="s">
        <v>91</v>
      </c>
      <c r="C35" t="s">
        <v>92</v>
      </c>
      <c r="D35" s="28" t="s">
        <v>131</v>
      </c>
      <c r="E35" s="28">
        <v>86</v>
      </c>
      <c r="F35" s="28">
        <v>90</v>
      </c>
      <c r="G35" s="28">
        <v>85</v>
      </c>
      <c r="H35" s="28">
        <v>100</v>
      </c>
      <c r="I35" s="28">
        <v>95</v>
      </c>
      <c r="J35" s="28">
        <v>95</v>
      </c>
      <c r="K35" s="37">
        <f t="shared" si="0"/>
        <v>91.833333333333329</v>
      </c>
      <c r="L35" s="28">
        <v>100</v>
      </c>
    </row>
    <row r="36" spans="1:12" x14ac:dyDescent="0.25">
      <c r="A36" s="30">
        <v>22660304</v>
      </c>
      <c r="B36" s="31" t="s">
        <v>93</v>
      </c>
      <c r="C36" s="31" t="s">
        <v>94</v>
      </c>
      <c r="D36" s="30" t="s">
        <v>131</v>
      </c>
      <c r="E36" s="30">
        <v>84</v>
      </c>
      <c r="F36" s="30">
        <v>86</v>
      </c>
      <c r="G36" s="30">
        <v>80</v>
      </c>
      <c r="H36" s="30">
        <v>93</v>
      </c>
      <c r="I36" s="30">
        <v>95</v>
      </c>
      <c r="J36" s="30">
        <v>89</v>
      </c>
      <c r="K36" s="38">
        <f t="shared" si="0"/>
        <v>87.833333333333329</v>
      </c>
      <c r="L36" s="30">
        <v>100</v>
      </c>
    </row>
    <row r="37" spans="1:12" x14ac:dyDescent="0.25">
      <c r="A37" s="28">
        <v>22660350</v>
      </c>
      <c r="B37" t="s">
        <v>95</v>
      </c>
      <c r="C37" t="s">
        <v>96</v>
      </c>
      <c r="D37" s="28" t="s">
        <v>131</v>
      </c>
      <c r="E37" s="28">
        <v>76</v>
      </c>
      <c r="F37" s="28">
        <v>70</v>
      </c>
      <c r="G37" s="28">
        <v>77</v>
      </c>
      <c r="H37" s="28">
        <v>89</v>
      </c>
      <c r="I37" s="28">
        <v>86</v>
      </c>
      <c r="J37" s="28">
        <v>88</v>
      </c>
      <c r="K37" s="37">
        <f t="shared" si="0"/>
        <v>81</v>
      </c>
      <c r="L37" s="28">
        <v>100</v>
      </c>
    </row>
    <row r="38" spans="1:12" x14ac:dyDescent="0.25">
      <c r="A38" s="32">
        <v>22660351</v>
      </c>
      <c r="B38" s="33" t="s">
        <v>97</v>
      </c>
      <c r="C38" s="33" t="s">
        <v>98</v>
      </c>
      <c r="D38" s="32" t="s">
        <v>131</v>
      </c>
      <c r="E38" s="32">
        <v>0</v>
      </c>
      <c r="F38" s="32">
        <v>70</v>
      </c>
      <c r="G38" s="32">
        <v>76</v>
      </c>
      <c r="H38" s="32">
        <v>73</v>
      </c>
      <c r="I38" s="32">
        <v>91</v>
      </c>
      <c r="J38" s="32">
        <v>85</v>
      </c>
      <c r="K38" s="34">
        <f t="shared" si="0"/>
        <v>65.833333333333329</v>
      </c>
      <c r="L38" s="32">
        <f>6*100/7</f>
        <v>85.714285714285708</v>
      </c>
    </row>
    <row r="39" spans="1:12" x14ac:dyDescent="0.25">
      <c r="A39" s="28">
        <v>22660308</v>
      </c>
      <c r="B39" t="s">
        <v>99</v>
      </c>
      <c r="C39" t="s">
        <v>100</v>
      </c>
      <c r="D39" s="28" t="s">
        <v>131</v>
      </c>
      <c r="E39" s="28">
        <v>70</v>
      </c>
      <c r="F39" s="28">
        <v>84</v>
      </c>
      <c r="G39" s="28">
        <v>75</v>
      </c>
      <c r="H39" s="28">
        <v>97</v>
      </c>
      <c r="I39" s="28">
        <v>88</v>
      </c>
      <c r="J39" s="28">
        <v>92</v>
      </c>
      <c r="K39" s="37">
        <f t="shared" si="0"/>
        <v>84.333333333333329</v>
      </c>
      <c r="L39" s="28">
        <v>100</v>
      </c>
    </row>
    <row r="40" spans="1:12" x14ac:dyDescent="0.25">
      <c r="A40" s="30">
        <v>22660313</v>
      </c>
      <c r="B40" s="31" t="s">
        <v>101</v>
      </c>
      <c r="C40" s="31" t="s">
        <v>102</v>
      </c>
      <c r="D40" s="30" t="s">
        <v>131</v>
      </c>
      <c r="E40" s="30">
        <v>82</v>
      </c>
      <c r="F40" s="30">
        <v>84</v>
      </c>
      <c r="G40" s="30">
        <v>95</v>
      </c>
      <c r="H40" s="30">
        <v>97</v>
      </c>
      <c r="I40" s="30">
        <v>92</v>
      </c>
      <c r="J40" s="30">
        <v>91</v>
      </c>
      <c r="K40" s="38">
        <f t="shared" si="0"/>
        <v>90.166666666666671</v>
      </c>
      <c r="L40" s="30">
        <v>100</v>
      </c>
    </row>
    <row r="41" spans="1:12" x14ac:dyDescent="0.25">
      <c r="A41" s="28">
        <v>22660357</v>
      </c>
      <c r="B41" t="s">
        <v>103</v>
      </c>
      <c r="C41" t="s">
        <v>104</v>
      </c>
      <c r="D41" s="28" t="s">
        <v>131</v>
      </c>
      <c r="E41" s="28">
        <v>84</v>
      </c>
      <c r="F41" s="28">
        <v>90</v>
      </c>
      <c r="G41" s="28">
        <v>75</v>
      </c>
      <c r="H41" s="28">
        <v>100</v>
      </c>
      <c r="I41" s="28">
        <v>92</v>
      </c>
      <c r="J41" s="28">
        <v>94</v>
      </c>
      <c r="K41" s="37">
        <f t="shared" si="0"/>
        <v>89.166666666666671</v>
      </c>
      <c r="L41" s="28">
        <v>100</v>
      </c>
    </row>
    <row r="42" spans="1:12" x14ac:dyDescent="0.25">
      <c r="A42" s="30">
        <v>22660364</v>
      </c>
      <c r="B42" s="31" t="s">
        <v>105</v>
      </c>
      <c r="C42" s="31" t="s">
        <v>106</v>
      </c>
      <c r="D42" s="30" t="s">
        <v>131</v>
      </c>
      <c r="E42" s="30">
        <v>76</v>
      </c>
      <c r="F42" s="30">
        <v>70</v>
      </c>
      <c r="G42" s="30">
        <v>75</v>
      </c>
      <c r="H42" s="30">
        <v>88</v>
      </c>
      <c r="I42" s="30">
        <v>91</v>
      </c>
      <c r="J42" s="30">
        <v>87</v>
      </c>
      <c r="K42" s="38">
        <f t="shared" si="0"/>
        <v>81.166666666666671</v>
      </c>
      <c r="L42" s="30">
        <v>100</v>
      </c>
    </row>
    <row r="43" spans="1:12" x14ac:dyDescent="0.25">
      <c r="A43" s="28">
        <v>22660371</v>
      </c>
      <c r="B43" t="s">
        <v>107</v>
      </c>
      <c r="C43" t="s">
        <v>108</v>
      </c>
      <c r="D43" s="28" t="s">
        <v>131</v>
      </c>
      <c r="E43" s="28">
        <v>88</v>
      </c>
      <c r="F43" s="28">
        <v>88</v>
      </c>
      <c r="G43" s="28">
        <v>80</v>
      </c>
      <c r="H43" s="28">
        <v>100</v>
      </c>
      <c r="I43" s="28">
        <v>91</v>
      </c>
      <c r="J43" s="28">
        <v>92</v>
      </c>
      <c r="K43" s="37">
        <f t="shared" si="0"/>
        <v>89.833333333333329</v>
      </c>
      <c r="L43" s="28">
        <v>100</v>
      </c>
    </row>
    <row r="44" spans="1:12" x14ac:dyDescent="0.25">
      <c r="A44" s="30">
        <v>22660324</v>
      </c>
      <c r="B44" s="31" t="s">
        <v>109</v>
      </c>
      <c r="C44" s="31" t="s">
        <v>110</v>
      </c>
      <c r="D44" s="30" t="s">
        <v>131</v>
      </c>
      <c r="E44" s="30">
        <v>85</v>
      </c>
      <c r="F44" s="30">
        <v>81</v>
      </c>
      <c r="G44" s="30">
        <v>80</v>
      </c>
      <c r="H44" s="30">
        <v>99</v>
      </c>
      <c r="I44" s="30">
        <v>89</v>
      </c>
      <c r="J44" s="30">
        <v>88</v>
      </c>
      <c r="K44" s="38">
        <f t="shared" si="0"/>
        <v>87</v>
      </c>
      <c r="L44" s="30">
        <v>100</v>
      </c>
    </row>
    <row r="45" spans="1:12" x14ac:dyDescent="0.25">
      <c r="A45" s="28">
        <v>22660372</v>
      </c>
      <c r="B45" t="s">
        <v>111</v>
      </c>
      <c r="C45" t="s">
        <v>112</v>
      </c>
      <c r="D45" s="28" t="s">
        <v>131</v>
      </c>
      <c r="E45" s="28">
        <v>70</v>
      </c>
      <c r="F45" s="28">
        <v>80</v>
      </c>
      <c r="G45" s="28">
        <v>75</v>
      </c>
      <c r="H45" s="28">
        <v>83</v>
      </c>
      <c r="I45" s="28">
        <v>83</v>
      </c>
      <c r="J45" s="28">
        <v>82</v>
      </c>
      <c r="K45" s="37">
        <f t="shared" si="0"/>
        <v>78.833333333333329</v>
      </c>
      <c r="L45" s="28">
        <v>100</v>
      </c>
    </row>
    <row r="46" spans="1:12" x14ac:dyDescent="0.25">
      <c r="A46" s="30">
        <v>22660379</v>
      </c>
      <c r="B46" s="31" t="s">
        <v>113</v>
      </c>
      <c r="C46" s="31" t="s">
        <v>114</v>
      </c>
      <c r="D46" s="30" t="s">
        <v>131</v>
      </c>
      <c r="E46" s="30">
        <v>81</v>
      </c>
      <c r="F46" s="30">
        <v>89</v>
      </c>
      <c r="G46" s="30">
        <v>78</v>
      </c>
      <c r="H46" s="30">
        <v>98</v>
      </c>
      <c r="I46" s="30">
        <v>83</v>
      </c>
      <c r="J46" s="30">
        <v>85</v>
      </c>
      <c r="K46" s="38">
        <f t="shared" si="0"/>
        <v>85.666666666666671</v>
      </c>
      <c r="L46" s="30">
        <v>100</v>
      </c>
    </row>
    <row r="47" spans="1:12" x14ac:dyDescent="0.25">
      <c r="A47" s="28">
        <v>22660380</v>
      </c>
      <c r="B47" t="s">
        <v>115</v>
      </c>
      <c r="C47" t="s">
        <v>116</v>
      </c>
      <c r="D47" s="28" t="s">
        <v>131</v>
      </c>
      <c r="E47" s="28">
        <v>78</v>
      </c>
      <c r="F47" s="28">
        <v>90</v>
      </c>
      <c r="G47" s="28">
        <v>75</v>
      </c>
      <c r="H47" s="28">
        <v>93</v>
      </c>
      <c r="I47" s="28">
        <v>86</v>
      </c>
      <c r="J47" s="28">
        <v>89</v>
      </c>
      <c r="K47" s="37">
        <f t="shared" si="0"/>
        <v>85.166666666666671</v>
      </c>
      <c r="L47" s="28">
        <v>100</v>
      </c>
    </row>
    <row r="48" spans="1:12" x14ac:dyDescent="0.25">
      <c r="A48" s="35">
        <v>22660384</v>
      </c>
      <c r="B48" s="36" t="s">
        <v>117</v>
      </c>
      <c r="C48" s="36" t="s">
        <v>118</v>
      </c>
      <c r="D48" s="35" t="s">
        <v>131</v>
      </c>
      <c r="E48" s="35">
        <v>76</v>
      </c>
      <c r="F48" s="35">
        <v>84</v>
      </c>
      <c r="G48" s="35">
        <v>75</v>
      </c>
      <c r="H48" s="35">
        <v>97</v>
      </c>
      <c r="I48" s="35">
        <v>82</v>
      </c>
      <c r="J48" s="35">
        <v>85</v>
      </c>
      <c r="K48" s="39">
        <f t="shared" si="0"/>
        <v>83.166666666666671</v>
      </c>
      <c r="L48" s="35">
        <v>100</v>
      </c>
    </row>
  </sheetData>
  <conditionalFormatting sqref="D4:N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1C3BC653B2414D9AB79FACD02AB77C" ma:contentTypeVersion="10" ma:contentTypeDescription="Crear nuevo documento." ma:contentTypeScope="" ma:versionID="4d4c578879c25b765f5a61198ba1d6a2">
  <xsd:schema xmlns:xsd="http://www.w3.org/2001/XMLSchema" xmlns:xs="http://www.w3.org/2001/XMLSchema" xmlns:p="http://schemas.microsoft.com/office/2006/metadata/properties" xmlns:ns2="8e9f1572-a94c-4697-b7a0-18600fd3a77d" xmlns:ns3="ed0daab7-1ebe-47b0-9e51-21db963bd297" targetNamespace="http://schemas.microsoft.com/office/2006/metadata/properties" ma:root="true" ma:fieldsID="4bfef555fcae5bb446f5a815289e4601" ns2:_="" ns3:_="">
    <xsd:import namespace="8e9f1572-a94c-4697-b7a0-18600fd3a77d"/>
    <xsd:import namespace="ed0daab7-1ebe-47b0-9e51-21db963bd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f1572-a94c-4697-b7a0-18600fd3a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daab7-1ebe-47b0-9e51-21db963bd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9CDEDA-D828-4721-B0BA-AF516953E4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F96F1C-A57F-4232-AD24-648BD868B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7FE91B-B9F5-4511-B659-8A1C21B8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f1572-a94c-4697-b7a0-18600fd3a77d"/>
    <ds:schemaRef ds:uri="ed0daab7-1ebe-47b0-9e51-21db963bd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ACTIVIDADES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</dc:creator>
  <cp:keywords/>
  <dc:description/>
  <cp:lastModifiedBy>ODALYS FERNANDA  GOMEZ ALVISO</cp:lastModifiedBy>
  <cp:revision/>
  <dcterms:created xsi:type="dcterms:W3CDTF">2018-05-29T21:40:27Z</dcterms:created>
  <dcterms:modified xsi:type="dcterms:W3CDTF">2025-12-04T21:42:09Z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0x010100461C3BC653B2414D9AB79FACD02AB77C</vt:lpwstr>
  </property>
</Properties>
</file>